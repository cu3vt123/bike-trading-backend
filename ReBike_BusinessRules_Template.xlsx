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usiness Rules" sheetId="1" r:id="rId1"/>
    <sheet name="Common rule" sheetId="2" r:id="rId2"/>
    <sheet name="Function" sheetId="3" r:id="rId3"/>
    <sheet name="Workflow States" sheetId="4" r:id="rId4"/>
    <sheet name="Pricing Rules" sheetId="5" r:id="rId5"/>
    <sheet name="Revenue Simulation" sheetId="6" r:id="rId6" state="hidden"/>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164" formatCode="#,##0&quot; VND&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011"/>
  <sheetViews>
    <sheetView workbookViewId="0" rightToLeft="0"/>
  </sheetViews>
  <sheetData>
    <row r="1">
      <c r="A1" t="str">
        <v>Rule ID</v>
      </c>
      <c r="B1" t="str">
        <v>Module</v>
      </c>
      <c r="C1" t="str">
        <v>Area</v>
      </c>
      <c r="D1" t="str">
        <v>Rule (VI)</v>
      </c>
      <c r="E1" t="str">
        <v>Actor</v>
      </c>
      <c r="F1" t="str">
        <v>Trigger</v>
      </c>
      <c r="G1" t="str">
        <v>Condition</v>
      </c>
      <c r="H1" t="str">
        <v>Result / Constraint</v>
      </c>
      <c r="I1" t="str">
        <v>Priority</v>
      </c>
      <c r="J1" t="str">
        <v>Source</v>
      </c>
    </row>
    <row r="2" xml:space="preserve">
      <c r="A2" t="str">
        <v>BR-AUTH-01</v>
      </c>
      <c r="B2" t="str">
        <v>Authentication</v>
      </c>
      <c r="C2" t="str">
        <v>Username Format</v>
      </c>
      <c r="D2" t="str" xml:space="preserve">
        <v xml:space="preserve">Username là tùy chọn khi đăng ký nhưng nếu có thì phải hợp lệ.
Độ dài từ 2 đến 30 ký tự.
Chỉ cho phép chữ cái (a-z, A-Z), số (0-9) và dấu gạch dưới (_).
Không cho phép khoảng trắng, dấu chấm hoặc ký tự đặc biệt khác.</v>
      </c>
      <c r="E2" t="str">
        <v>User</v>
      </c>
      <c r="F2" t="str">
        <v>Register / Update Username</v>
      </c>
      <c r="G2" t="str">
        <v>User submits username</v>
      </c>
      <c r="H2" t="str">
        <v>Accept only if username matches system constraints</v>
      </c>
      <c r="I2" t="str">
        <v>MUST</v>
      </c>
      <c r="J2" t="str">
        <v>Current app flow</v>
      </c>
    </row>
    <row r="3" xml:space="preserve">
      <c r="A3" t="str">
        <v>BR-AUTH-02</v>
      </c>
      <c r="B3" t="str">
        <v>Authentication</v>
      </c>
      <c r="C3" t="str">
        <v>Password Format</v>
      </c>
      <c r="D3" t="str" xml:space="preserve">
        <v xml:space="preserve">Password phải từ 8 đến 64 ký tự.
Bắt buộc có ít nhất 1 chữ in hoa.
Bắt buộc có ít nhất 1 ký tự đặc biệt.
Không được để trống.
Mật khẩu xác nhận phải trùng khớp với mật khẩu đã nhập.</v>
      </c>
      <c r="E3" t="str">
        <v>User</v>
      </c>
      <c r="F3" t="str">
        <v>Register / Update Password</v>
      </c>
      <c r="G3" t="str">
        <v>User submits password and confirm password</v>
      </c>
      <c r="H3" t="str">
        <v>Accept only if all constraints pass and confirm password matches</v>
      </c>
      <c r="I3" t="str">
        <v>MUST</v>
      </c>
      <c r="J3" t="str">
        <v>Current app flow</v>
      </c>
    </row>
    <row r="4" xml:space="preserve">
      <c r="A4" t="str">
        <v>BR-AUTH-03</v>
      </c>
      <c r="B4" t="str">
        <v>Authentication</v>
      </c>
      <c r="C4" t="str">
        <v>Invalid Login Handling</v>
      </c>
      <c r="D4" t="str" xml:space="preserve">
        <v xml:space="preserve">Trong phạm vi hiện tại, hệ thống kiểm tra email và password.
Nếu thông tin không hợp lệ thì trả về đăng nhập thất bại.
Chưa áp dụng cơ chế khóa tạm thời hoặc OTP trong scope hiện tại.</v>
      </c>
      <c r="E4" t="str">
        <v>System</v>
      </c>
      <c r="F4" t="str">
        <v>Login attempts</v>
      </c>
      <c r="G4" t="str">
        <v>Invalid credentials</v>
      </c>
      <c r="H4" t="str">
        <v>Reject login and show invalid login error</v>
      </c>
      <c r="I4" t="str">
        <v>MUST</v>
      </c>
      <c r="J4" t="str">
        <v>Current app flow</v>
      </c>
    </row>
    <row r="5" xml:space="preserve">
      <c r="A5" t="str">
        <v>BR-AUTH-04</v>
      </c>
      <c r="B5" t="str">
        <v>Authentication</v>
      </c>
      <c r="C5" t="str">
        <v>Token / Session Validation</v>
      </c>
      <c r="D5" t="str" xml:space="preserve">
        <v xml:space="preserve">Sau khi đăng nhập thành công, hệ thống lưu token đăng nhập để truy cập các trang được bảo vệ.
Nếu token hết hạn hoặc không còn hợp lệ:
- Tự động đăng xuất
- Xóa thông tin xác thực cũ
- Điều hướng về trang Login</v>
      </c>
      <c r="E5" t="str">
        <v>System</v>
      </c>
      <c r="F5" t="str">
        <v>Session validation / Protected page access</v>
      </c>
      <c r="G5" t="str">
        <v>Stored token is expired or invalid</v>
      </c>
      <c r="H5" t="str">
        <v>Auto logout, clear auth state, redirect to Login</v>
      </c>
      <c r="I5" t="str">
        <v>MUST</v>
      </c>
      <c r="J5" t="str">
        <v>Current app flow</v>
      </c>
    </row>
    <row r="6" xml:space="preserve">
      <c r="A6" t="str">
        <v>BR-USER-01</v>
      </c>
      <c r="B6" t="str">
        <v>User Management</v>
      </c>
      <c r="C6" t="str">
        <v>Role Assignment</v>
      </c>
      <c r="D6" t="str" xml:space="preserve">
        <v xml:space="preserve">Người dùng không được tự đổi Role
Buyer/Seller:
Chọn khi đăng ký
Inspector/Admin:
Do hệ thống tạo
Chỉ Admin được phép thay đổi Role</v>
      </c>
      <c r="E6" t="str">
        <v>Admin/System</v>
      </c>
      <c r="F6" t="str">
        <v>Role set/change</v>
      </c>
      <c r="G6" t="str">
        <v>Role assignment event</v>
      </c>
      <c r="H6" t="str">
        <v>Only Admin or registration can set role</v>
      </c>
      <c r="I6" t="str">
        <v>MUST</v>
      </c>
      <c r="J6" t="str">
        <v>Business Rules.docx</v>
      </c>
    </row>
    <row r="7" xml:space="preserve">
      <c r="A7" t="str">
        <v>BR-USER-02</v>
      </c>
      <c r="B7" t="str">
        <v>User Management</v>
      </c>
      <c r="C7" t="str">
        <v>Account Lock</v>
      </c>
      <c r="D7" t="str" xml:space="preserve">
        <v xml:space="preserve">Tài khoản bị khóa sẽ:
Không thể đăng nhập hệ thống.
Không thể thực hiện giao dịch mua/bán.
Khi account bị SUSPENDED:
Các Post đang PUBLISHED → tự động chuyển INACTIVE
Không cho tạo Order mới</v>
      </c>
      <c r="E7" t="str">
        <v>System/Admin</v>
      </c>
      <c r="F7" t="str">
        <v>Account status change</v>
      </c>
      <c r="G7" t="str">
        <v>Account is locked/suspended</v>
      </c>
      <c r="H7" t="str">
        <v>Restrict login and transactions; deactivate published posts; block new orders</v>
      </c>
      <c r="I7" t="str">
        <v>MUST</v>
      </c>
      <c r="J7" t="str">
        <v>Business Rules.docx</v>
      </c>
    </row>
    <row r="8" xml:space="preserve">
      <c r="A8" t="str">
        <v>BR-LIST-01</v>
      </c>
      <c r="B8" t="str">
        <v>Listing</v>
      </c>
      <c r="C8" t="str">
        <v>Mandatory Information</v>
      </c>
      <c r="D8" t="str" xml:space="preserve">
        <v xml:space="preserve">Tin đăng bắt buộc có các thông tin chính: tiêu đề, giá, hãng, tình trạng, frame size và mô tả phù hợp.
Giá chỉ cho phép nhập số và dùng đơn vị VND.
Seller phải tải đủ 5 ảnh theo checklist:
1) Toàn xe (góc tổng thể)
2) Toàn xe (góc khác / hai bên)
3) Số khung
4) Hệ truyền động
5) Phanh / bánh xe</v>
      </c>
      <c r="E8" t="str">
        <v>Seller</v>
      </c>
      <c r="F8" t="str">
        <v>Create / Update Listing</v>
      </c>
      <c r="G8" t="str">
        <v>Seller saves draft or submits listing</v>
      </c>
      <c r="H8" t="str">
        <v>Listing can be submitted for inspection only when required fields and 5 checklist images are present</v>
      </c>
      <c r="I8" t="str">
        <v>MUST</v>
      </c>
      <c r="J8" t="str">
        <v>Current app flow</v>
      </c>
    </row>
    <row r="9" xml:space="preserve">
      <c r="A9" t="str">
        <v>BR-LIST-02</v>
      </c>
      <c r="B9" t="str">
        <v>Listing</v>
      </c>
      <c r="C9" t="str">
        <v>Inspection Gate</v>
      </c>
      <c r="D9" t="str" xml:space="preserve">
        <v xml:space="preserve">Tin chưa APPROVE:
Không hiển thị cho Buyer
Không cho đặt cọc
Chỉ APPROVE → mới được PUBLISHED</v>
      </c>
      <c r="E9" t="str">
        <v>System</v>
      </c>
      <c r="F9" t="str">
        <v>Buyer views / deposits</v>
      </c>
      <c r="G9" t="str">
        <v>Post not APPROVE</v>
      </c>
      <c r="H9" t="str">
        <v>Hide listing from buyer; prevent deposit</v>
      </c>
      <c r="I9" t="str">
        <v>MUST</v>
      </c>
      <c r="J9" t="str">
        <v>Business Rules.docx</v>
      </c>
    </row>
    <row r="10" xml:space="preserve">
      <c r="A10" t="str">
        <v>BR-LIST-03</v>
      </c>
      <c r="B10" t="str">
        <v>Listing</v>
      </c>
      <c r="C10" t="str">
        <v>Marketplace Visibility by State</v>
      </c>
      <c r="D10" t="str" xml:space="preserve">
        <v xml:space="preserve">Tin đăng chỉ được hiển thị cho Buyer khi ở trạng thái PUBLISHED và đã được APPROVE.
Tin bị ẩn, bị khóa hoặc chưa qua kiểm định sẽ không hiển thị trên marketplace.
Trong scope hiện tại không áp dụng rule tự hết hạn sau 30 ngày.</v>
      </c>
      <c r="E10" t="str">
        <v>System</v>
      </c>
      <c r="F10" t="str">
        <v>Buyer views listing / listing query</v>
      </c>
      <c r="G10" t="str">
        <v>Listing state is checked before render</v>
      </c>
      <c r="H10" t="str">
        <v>Only eligible published listings are returned to buyer-facing screens</v>
      </c>
      <c r="I10" t="str">
        <v>MUST</v>
      </c>
      <c r="J10" t="str">
        <v>Current app flow</v>
      </c>
    </row>
    <row r="11" xml:space="preserve">
      <c r="A11" t="str">
        <v>BR-LIST-04</v>
      </c>
      <c r="B11" t="str">
        <v>Listing</v>
      </c>
      <c r="C11" t="str">
        <v>Edit Permission by Status</v>
      </c>
      <c r="D11" t="str" xml:space="preserve">
        <v xml:space="preserve">Status                               |Có được sửa?
DRAFT                              |Sửa tự do
PENDING INSPECTION  |Không sửa
NEED UPDATE                 |Được sửa và resubmit
PUBLISHED                      |Không sửa nội dung cốt lõi</v>
      </c>
      <c r="E11" t="str">
        <v>Seller/System</v>
      </c>
      <c r="F11" t="str" xml:space="preserve">
        <v xml:space="preserve">Seller takes the following action:
Update Listing
Edit Listing</v>
      </c>
      <c r="G11" t="str" xml:space="preserve">
        <v xml:space="preserve">Depending on the current state of the Listing:
Status = DRAFT
Status = PENDING_INSPECTION
Status = NEED_UPDATE
Status = PUBLISHED</v>
      </c>
      <c r="H11" t="str">
        <v>The system controls edit permissions based on status and rejects any invalid updates.</v>
      </c>
      <c r="I11" t="str">
        <v>MUST</v>
      </c>
      <c r="J11" t="str">
        <v>Business Rules.docx</v>
      </c>
    </row>
    <row r="12" xml:space="preserve">
      <c r="A12" t="str">
        <v>BR-PAY-01</v>
      </c>
      <c r="B12" t="str">
        <v>Payment</v>
      </c>
      <c r="C12" t="str">
        <v>Checkout Plans and Methods</v>
      </c>
      <c r="D12" t="str" xml:space="preserve">
        <v xml:space="preserve">Hệ thống hỗ trợ 2 kế hoạch thanh toán trong app:
1) Full Payment
2) Deposit / Reserve
Buyer thanh toán qua phương thức trong hệ thống (Card hoặc Bank Transfer).
Không hỗ trợ tiền mặt ngoài hệ thống.</v>
      </c>
      <c r="E12" t="str">
        <v>Buyer</v>
      </c>
      <c r="F12" t="str">
        <v>Checkout / Create Order</v>
      </c>
      <c r="G12" t="str">
        <v>Listing is APPROVED and available for transaction</v>
      </c>
      <c r="H12" t="str">
        <v>Allow buyer to choose valid plan and method, then create order only after payment validation succeeds</v>
      </c>
      <c r="I12" t="str">
        <v>MUST</v>
      </c>
      <c r="J12" t="str">
        <v>Current app flow</v>
      </c>
    </row>
    <row r="13" xml:space="preserve">
      <c r="A13" t="str">
        <v>BR-PAY-02</v>
      </c>
      <c r="B13" t="str">
        <v>Payment</v>
      </c>
      <c r="C13" t="str">
        <v>Escrow Payment</v>
      </c>
      <c r="D13" t="str" xml:space="preserve">
        <v xml:space="preserve">-Mọi khoản thanh toán (đặt cọc hoặc full) đều được giữ trong hệ thống
-Seller chỉ nhận tiền khi:
Order chuyển sang COMPLETED</v>
      </c>
      <c r="E13" t="str">
        <v>System</v>
      </c>
      <c r="F13" t="str">
        <v>Buyer payment successfully completed (deposit or full payment).</v>
      </c>
      <c r="G13" t="str">
        <v>The transaction is valid and the listing is in the Available state.</v>
      </c>
      <c r="H13" t="str">
        <v>The system holds all funds in escrow and only transfers them to the Seller when the Order is COMPLETED.</v>
      </c>
      <c r="I13" t="str">
        <v>MUST</v>
      </c>
      <c r="J13" t="str">
        <v>Business Rules.docx</v>
      </c>
    </row>
    <row r="14" xml:space="preserve">
      <c r="A14" t="str">
        <v>BR-PAY-03</v>
      </c>
      <c r="B14" t="str">
        <v>Payment</v>
      </c>
      <c r="C14" t="str">
        <v>FIFO Transaction Rule</v>
      </c>
      <c r="D14" t="str" xml:space="preserve">
        <v xml:space="preserve">Tin đăng ở trạng thái Available:
Buyer nào đặt cọc/thanh toán thành công trước sẽ được quyền mua trước.
Sau khi đặt cọc thành công:
Tin đăng chuyển sang trạng thái Reserved / In Transaction.
Các Buyer khác không thể đặt cọc/thanh toán.</v>
      </c>
      <c r="E14" t="str">
        <v>System</v>
      </c>
      <c r="F14" t="str">
        <v>Deposit success</v>
      </c>
      <c r="G14" t="str">
        <v>Listing Available</v>
      </c>
      <c r="H14" t="str">
        <v>Reserve listing for first successful depositor; block other deposits</v>
      </c>
      <c r="I14" t="str">
        <v>MUST</v>
      </c>
      <c r="J14" t="str">
        <v>Business Rules.docx</v>
      </c>
    </row>
    <row r="15" xml:space="preserve">
      <c r="A15" t="str">
        <v>BR-PAY-04</v>
      </c>
      <c r="B15" t="str">
        <v>Payment</v>
      </c>
      <c r="C15" t="str">
        <v>Reservation Timeout</v>
      </c>
      <c r="D15" t="str" xml:space="preserve">
        <v xml:space="preserve">Sau khi tạo giao dịch giữ chỗ thành công, đơn hàng có thời gian chờ thanh toán / hoàn tất bước tiếp theo trong 24 giờ theo countdown của hệ thống.
Nếu giao dịch bị hủy hợp lệ hoặc quá hạn theo chính sách xử lý hiện tại, listing được mở lại để tiếp tục giao dịch.</v>
      </c>
      <c r="E15" t="str">
        <v>System</v>
      </c>
      <c r="F15" t="str">
        <v>Reservation countdown / timeout job</v>
      </c>
      <c r="G15" t="str">
        <v>Order remains unresolved beyond reservation window</v>
      </c>
      <c r="H15" t="str">
        <v>Cancel reservation per policy and return listing to PUBLISHED / available state</v>
      </c>
      <c r="I15" t="str">
        <v>MUST</v>
      </c>
      <c r="J15" t="str">
        <v>Current app flow</v>
      </c>
    </row>
    <row r="16" xml:space="preserve">
      <c r="A16" t="str">
        <v>BR-PAY-05</v>
      </c>
      <c r="B16" t="str">
        <v>Payment</v>
      </c>
      <c r="C16" t="str">
        <v>Cancel Limitation</v>
      </c>
      <c r="D16" t="str" xml:space="preserve">
        <v xml:space="preserve">-Mỗi user được hủy tối đa 3 lần / kỳ
-Khi hủy:
Listing mở khóa ngay
-Hệ thống ghi nhận hành vi chống spam</v>
      </c>
      <c r="E16" t="str">
        <v>Buyer/System</v>
      </c>
      <c r="F16" t="str">
        <v>Buyer cancels transaction</v>
      </c>
      <c r="G16" t="str">
        <v>Number of cancellations by Buyer during the period &lt; 3</v>
      </c>
      <c r="H16" t="str">
        <v>The system allows cancellation, unlocking the listing to "Available," and records the number of cancellations; if there are ≥ 3 cancellations, the cancellation will be refused or transaction rights will be restricted.</v>
      </c>
      <c r="I16" t="str">
        <v>MUST</v>
      </c>
      <c r="J16" t="str">
        <v>Business Rules.docx</v>
      </c>
    </row>
    <row r="17" xml:space="preserve">
      <c r="A17" t="str">
        <v>BR-PAY-06</v>
      </c>
      <c r="B17" t="str">
        <v>Payment</v>
      </c>
      <c r="C17" t="str">
        <v>Refund Policy</v>
      </c>
      <c r="D17" t="str" xml:space="preserve">
        <v xml:space="preserve">Khi giao dịch bị hủy hợp lệ:
-Nếu đã thanh toán tiền đặt cọc → hoàn tiền
-Nếu đã thanh toán full → hoàn tiền
-Thời gian hoàn tiền tối đa 7 ngày</v>
      </c>
      <c r="E17" t="str">
        <v>System</v>
      </c>
      <c r="F17" t="str">
        <v>The transaction was validly canceled.</v>
      </c>
      <c r="G17" t="str">
        <v>Buyer has made payment (deposit or full payment)</v>
      </c>
      <c r="H17" t="str">
        <v>The system will process the refund accordingly and complete the transaction within a maximum of 7 days.</v>
      </c>
      <c r="I17" t="str">
        <v>MUST</v>
      </c>
      <c r="J17" t="str">
        <v>Business Rules.docx</v>
      </c>
    </row>
    <row r="18" xml:space="preserve">
      <c r="A18" t="str">
        <v>BR-PAY-07</v>
      </c>
      <c r="B18" t="str">
        <v>Payment</v>
      </c>
      <c r="C18" t="str">
        <v>Order Completion Rule</v>
      </c>
      <c r="D18" t="str" xml:space="preserve">
        <v xml:space="preserve">Order chỉ được chuyển COMPLETED khi đơn hàng đã đến bước SHIPPING và Buyer chủ động xác nhận đã nhận xe.
Khi COMPLETED:
- Tiền escrow được giải ngân cho Seller
- Listing được coi là đã bán thành công</v>
      </c>
      <c r="E18" t="str">
        <v>Buyer / System</v>
      </c>
      <c r="F18" t="str">
        <v>Buyer confirms receipt</v>
      </c>
      <c r="G18" t="str">
        <v>Order status = SHIPPING</v>
      </c>
      <c r="H18" t="str">
        <v>Complete order and release escrow only from valid shipping state</v>
      </c>
      <c r="I18" t="str">
        <v>MUST</v>
      </c>
      <c r="J18" t="str">
        <v>Current app flow</v>
      </c>
    </row>
    <row r="19" xml:space="preserve">
      <c r="A19" t="str">
        <v>BR-INSP-01</v>
      </c>
      <c r="B19" t="str">
        <v>Inspection</v>
      </c>
      <c r="C19" t="str">
        <v>Inspection Result Types</v>
      </c>
      <c r="D19" t="str" xml:space="preserve">
        <v xml:space="preserve">Kết quả kiểm định của Inspector gồm 3 trạng thái:
Approve
→ Tin đăng được Published lên sàn.
Reject
→ Tin đăng bị từ chối và không được đăng bán.
Need Update / Request More Info
→ Tin đăng được trả về cho Seller để:
Cập nhật hình ảnh / thông tin
Gửi lại để kiểm định (resubmit).</v>
      </c>
      <c r="E19" t="str">
        <v>Inspector/System</v>
      </c>
      <c r="F19" t="str">
        <v>Inspection report submitted</v>
      </c>
      <c r="G19" t="str">
        <v>Inspector sets result</v>
      </c>
      <c r="H19" t="str">
        <v>Update post status per result</v>
      </c>
      <c r="I19" t="str">
        <v>MUST</v>
      </c>
      <c r="J19" t="str">
        <v>Business Rules.docx</v>
      </c>
    </row>
    <row r="20" xml:space="preserve">
      <c r="A20" t="str">
        <v>BR-SHIP-01</v>
      </c>
      <c r="B20" t="str">
        <v>Shipping</v>
      </c>
      <c r="C20" t="str">
        <v>Seller Ships to Warehouse</v>
      </c>
      <c r="D20" t="str" xml:space="preserve">
        <v xml:space="preserve">Sau khi giao dịch được xác nhận, Seller phải gửi xe về kho theo đơn hàng của mình.
Hệ thống chỉ cho Seller xem và xử lý các đơn thuộc tài khoản Seller hiện tại.</v>
      </c>
      <c r="E20" t="str">
        <v>Seller / System</v>
      </c>
      <c r="F20" t="str">
        <v>Seller processes order</v>
      </c>
      <c r="G20" t="str">
        <v>Order status = PENDING_SELLER_SHIP</v>
      </c>
      <c r="H20" t="str">
        <v>Update order to SELLER_SHIPPED after seller ships the bike to warehouse</v>
      </c>
      <c r="I20" t="str">
        <v>MUST</v>
      </c>
      <c r="J20" t="str">
        <v>Current app flow</v>
      </c>
    </row>
    <row r="21">
      <c r="A21" t="str">
        <v>BR-SHIP-02</v>
      </c>
      <c r="B21" t="str">
        <v>Shipping</v>
      </c>
      <c r="C21" t="str">
        <v>Warehouse Confirmation</v>
      </c>
      <c r="D21" t="str">
        <v>Khi xe tới kho, Admin xác nhận xe đã đến kho để chuyển đơn sang bước chờ kiểm định lại.</v>
      </c>
      <c r="E21" t="str">
        <v>Admin / System</v>
      </c>
      <c r="F21" t="str">
        <v>Confirm warehouse arrival</v>
      </c>
      <c r="G21" t="str">
        <v>Order status = SELLER_SHIPPED</v>
      </c>
      <c r="H21" t="str">
        <v>Update order to AT_WAREHOUSE_PENDING_ADMIN or next re-inspection stage</v>
      </c>
      <c r="I21" t="str">
        <v>MUST</v>
      </c>
      <c r="J21" t="str">
        <v>Current app flow</v>
      </c>
    </row>
    <row r="22" xml:space="preserve">
      <c r="A22" t="str">
        <v>BR-SHIP-03</v>
      </c>
      <c r="B22" t="str">
        <v>Shipping</v>
      </c>
      <c r="C22" t="str">
        <v>Re-inspection Flow</v>
      </c>
      <c r="D22" t="str" xml:space="preserve">
        <v xml:space="preserve">Sau khi xe đến kho, Inspector thực hiện kiểm định lại trước khi giao cho Buyer.
Đơn hàng đi qua các trạng thái RE_INSPECTION và RE_INSPECTION_DONE theo quy trình kiểm định.</v>
      </c>
      <c r="E22" t="str">
        <v>Inspector / System</v>
      </c>
      <c r="F22" t="str">
        <v>Re-inspection action</v>
      </c>
      <c r="G22" t="str">
        <v>Order reached warehouse and is ready for inspection</v>
      </c>
      <c r="H22" t="str">
        <v>Advance order through re-inspection states before shipping to buyer</v>
      </c>
      <c r="I22" t="str">
        <v>MUST</v>
      </c>
      <c r="J22" t="str">
        <v>Current app flow</v>
      </c>
    </row>
    <row r="23">
      <c r="A23" t="str">
        <v>BR-SHIP-04</v>
      </c>
      <c r="B23" t="str">
        <v>Shipping</v>
      </c>
      <c r="C23" t="str">
        <v>Delivery Start</v>
      </c>
      <c r="D23" t="str">
        <v>Chỉ sau khi kiểm định lại hoàn tất thành công, hệ thống mới cho phép đơn hàng chuyển sang bước giao hàng cho Buyer.</v>
      </c>
      <c r="E23" t="str">
        <v>System</v>
      </c>
      <c r="F23" t="str">
        <v>Delivery dispatch</v>
      </c>
      <c r="G23" t="str">
        <v>Order status = RE_INSPECTION_DONE</v>
      </c>
      <c r="H23" t="str">
        <v>Update order status to SHIPPING</v>
      </c>
      <c r="I23" t="str">
        <v>MUST</v>
      </c>
      <c r="J23" t="str">
        <v>Current app flow</v>
      </c>
    </row>
    <row r="24" xml:space="preserve">
      <c r="A24" t="str">
        <v>BR-SHIP-05</v>
      </c>
      <c r="B24" t="str">
        <v>Shipping</v>
      </c>
      <c r="C24" t="str">
        <v>Cancellation Restriction After Shipping</v>
      </c>
      <c r="D24" t="str" xml:space="preserve">
        <v xml:space="preserve">Khi đơn hàng đã sang các bước SELLER_SHIPPED / AT_WAREHOUSE_PENDING_ADMIN / RE_INSPECTION / SHIPPING, việc hủy không còn là thao tác self-service đơn giản của Buyer. Mọi xử lý tiếp theo phải theo chính sách vận hành và hoàn tiền của hệ thống.</v>
      </c>
      <c r="E24" t="str">
        <v>Buyer / Admin / System</v>
      </c>
      <c r="F24" t="str">
        <v>Cancel transaction</v>
      </c>
      <c r="G24" t="str">
        <v>Order has entered shipping / warehouse stages</v>
      </c>
      <c r="H24" t="str">
        <v>Restrict direct cancellation and require policy-based handling</v>
      </c>
      <c r="I24" t="str">
        <v>MUST</v>
      </c>
      <c r="J24" t="str">
        <v>Current app flow</v>
      </c>
    </row>
    <row r="25">
      <c r="A25" t="str">
        <v>BR-SHIP-06</v>
      </c>
      <c r="B25" t="str">
        <v>Shipping</v>
      </c>
      <c r="C25" t="str">
        <v>Delivery Completion</v>
      </c>
      <c r="D25" t="str">
        <v>Sau khi Buyer xác nhận đã nhận xe ở bước SHIPPING, hệ thống đánh dấu đơn COMPLETED và kết thúc quy trình giao vận.</v>
      </c>
      <c r="E25" t="str">
        <v>Buyer / System</v>
      </c>
      <c r="F25" t="str">
        <v>Confirm delivery</v>
      </c>
      <c r="G25" t="str">
        <v>Order status = SHIPPING</v>
      </c>
      <c r="H25" t="str">
        <v>Set order to COMPLETED and finish logistics flow</v>
      </c>
      <c r="I25" t="str">
        <v>MUST</v>
      </c>
      <c r="J25" t="str">
        <v>Current app flow</v>
      </c>
    </row>
    <row r="26">
      <c r="A26" t="str">
        <v>DATA BUSINESS RULES</v>
      </c>
    </row>
    <row r="27" xml:space="preserve">
      <c r="A27" t="str">
        <v>DR-SELLER-01</v>
      </c>
      <c r="B27" t="str">
        <v>Data Validation</v>
      </c>
      <c r="C27" t="str">
        <v>SELLER.Seller ID</v>
      </c>
      <c r="D27" t="str" xml:space="preserve">
        <v xml:space="preserve">Không được để trống.
Có định dạng: S- + 6 chữ số.
Là khóa chính và không trùng lặp.</v>
      </c>
      <c r="E27" t="str">
        <v>System</v>
      </c>
      <c r="F27" t="str">
        <v>Create/Update record</v>
      </c>
      <c r="G27" t="str">
        <v>Entity=SELLER</v>
      </c>
      <c r="H27" t="str">
        <v>Validate and reject invalid input</v>
      </c>
      <c r="I27" t="str">
        <v>MUST</v>
      </c>
      <c r="J27" t="str">
        <v>Business Rules.docx</v>
      </c>
    </row>
    <row r="28" xml:space="preserve">
      <c r="A28" t="str">
        <v>DR-SELLER-02</v>
      </c>
      <c r="B28" t="str">
        <v>Data Validation</v>
      </c>
      <c r="C28" t="str">
        <v>SELLER.Seller Name</v>
      </c>
      <c r="D28" t="str" xml:space="preserve">
        <v xml:space="preserve">Không được để trống.
Độ dài từ 6 đến 30 ký tự.
Không chấp nhận giá trị chỉ chứa khoảng trắng.
Không chấp nhận kí tự đặc biệt</v>
      </c>
      <c r="E28" t="str">
        <v>System</v>
      </c>
      <c r="F28" t="str">
        <v>Create/Update record</v>
      </c>
      <c r="G28" t="str">
        <v>Entity=SELLER</v>
      </c>
      <c r="H28" t="str">
        <v>Validate and reject invalid input</v>
      </c>
      <c r="I28" t="str">
        <v>MUST</v>
      </c>
      <c r="J28" t="str">
        <v>Business Rules.docx</v>
      </c>
    </row>
    <row r="29" xml:space="preserve">
      <c r="A29" t="str">
        <v>DR-SELLER-03</v>
      </c>
      <c r="B29" t="str">
        <v>Data Validation</v>
      </c>
      <c r="C29" t="str">
        <v>SELLER.Seller Status</v>
      </c>
      <c r="D29" t="str" xml:space="preserve">
        <v xml:space="preserve">Không được để trống.
Chỉ nhận các giá trị:
PENDING – Chờ Admin duyệt
ACTIVE – Được phép đăng bán
REJECTED – Bị từ chối duyệt
SUSPENDED – Bị tạm khóa
Khi tạo mới Seller, trạng thái mặc định là PENDING.</v>
      </c>
      <c r="E29" t="str">
        <v>System</v>
      </c>
      <c r="F29" t="str">
        <v>Create/Update record</v>
      </c>
      <c r="G29" t="str">
        <v>Entity=SELLER</v>
      </c>
      <c r="H29" t="str">
        <v>Validate and reject invalid input</v>
      </c>
      <c r="I29" t="str">
        <v>MUST</v>
      </c>
      <c r="J29" t="str">
        <v>Business Rules.docx</v>
      </c>
    </row>
    <row r="30" xml:space="preserve">
      <c r="A30" t="str">
        <v>DR-SELLER-04</v>
      </c>
      <c r="B30" t="str">
        <v>Data Validation</v>
      </c>
      <c r="C30" t="str">
        <v>SELLER.Email</v>
      </c>
      <c r="D30" t="str" xml:space="preserve">
        <v xml:space="preserve">Bắt buộc phải có.
Không được để trống và không được trùng lặp.
Phải đúng định dạng email hợp lệ theo chuẩn hệ thống.</v>
      </c>
      <c r="E30" t="str">
        <v>System</v>
      </c>
      <c r="F30" t="str">
        <v>Create/Update record</v>
      </c>
      <c r="G30" t="str">
        <v>Entity=SELLER</v>
      </c>
      <c r="H30" t="str">
        <v>Validate and reject invalid input</v>
      </c>
      <c r="I30" t="str">
        <v>MUST</v>
      </c>
      <c r="J30" t="str">
        <v>Current app flow</v>
      </c>
    </row>
    <row r="31" xml:space="preserve">
      <c r="A31" t="str">
        <v>DR-SELLER-05</v>
      </c>
      <c r="B31" t="str">
        <v>Data Validation</v>
      </c>
      <c r="C31" t="str">
        <v>SELLER.Phone Number (Vietnam Standard)</v>
      </c>
      <c r="D31" t="str" xml:space="preserve">
        <v xml:space="preserve">Không được để trống
Không trùng lặp
Bắt đầu bằng 0 hoặc +84
0 + 9 digits
+84 + 9 digits
Không chứa ký tự đặc biệt</v>
      </c>
      <c r="E31" t="str">
        <v>System</v>
      </c>
      <c r="F31" t="str">
        <v>Create/Update record</v>
      </c>
      <c r="G31" t="str">
        <v>Entity=SELLER</v>
      </c>
      <c r="H31" t="str">
        <v>Validate and reject invalid input</v>
      </c>
      <c r="I31" t="str">
        <v>MUST</v>
      </c>
      <c r="J31" t="str">
        <v>Business Rules.docx</v>
      </c>
    </row>
    <row r="32" xml:space="preserve">
      <c r="A32" t="str">
        <v>DR-INSPECTOR-01</v>
      </c>
      <c r="B32" t="str">
        <v>Data Validation</v>
      </c>
      <c r="C32" t="str">
        <v>INSPECTOR.Inspector ID</v>
      </c>
      <c r="D32" t="str" xml:space="preserve">
        <v xml:space="preserve">Không được để trống.
Có định dạng: "I-" + 6 ký tự.
Là khóa chính và không trùng lặp.</v>
      </c>
      <c r="E32" t="str">
        <v>System</v>
      </c>
      <c r="F32" t="str">
        <v>Create/Update record</v>
      </c>
      <c r="G32" t="str">
        <v>Entity=INSPECTOR</v>
      </c>
      <c r="H32" t="str">
        <v>Validate and reject invalid input</v>
      </c>
      <c r="I32" t="str">
        <v>MUST</v>
      </c>
      <c r="J32" t="str">
        <v>Business Rules.docx</v>
      </c>
    </row>
    <row r="33" xml:space="preserve">
      <c r="A33" t="str">
        <v>DR-INSPECTOR-02</v>
      </c>
      <c r="B33" t="str">
        <v>Data Validation</v>
      </c>
      <c r="C33" t="str">
        <v>INSPECTOR.Inspector Name</v>
      </c>
      <c r="D33" t="str" xml:space="preserve">
        <v xml:space="preserve">Không được để trống.
Độ dài từ 6 đến 30 ký tự.
Không chấp nhận giá trị chỉ chứa khoảng trắng.
Không chấp nhận kí tự đặc biệt.</v>
      </c>
      <c r="E33" t="str">
        <v>System</v>
      </c>
      <c r="F33" t="str">
        <v>Create/Update record</v>
      </c>
      <c r="G33" t="str">
        <v>Entity=INSPECTOR</v>
      </c>
      <c r="H33" t="str">
        <v>Validate and reject invalid input</v>
      </c>
      <c r="I33" t="str">
        <v>MUST</v>
      </c>
      <c r="J33" t="str">
        <v>Business Rules.docx</v>
      </c>
    </row>
    <row r="34" xml:space="preserve">
      <c r="A34" t="str">
        <v>DR-INSPECTOR-03</v>
      </c>
      <c r="B34" t="str">
        <v>Data Validation</v>
      </c>
      <c r="C34" t="str">
        <v>INSPECTOR.Inspector Status</v>
      </c>
      <c r="D34" t="str" xml:space="preserve">
        <v xml:space="preserve">Không được để trống.
Chỉ nhận các giá trị:
ACTIVE – Đang hoạt động
SUSPENDED – Bị tạm khóa
Khi tạo mới Inspector, trạng thái mặc định là ACTIVE.</v>
      </c>
      <c r="E34" t="str">
        <v>System</v>
      </c>
      <c r="F34" t="str">
        <v>Create/Update record</v>
      </c>
      <c r="G34" t="str">
        <v>Entity=INSPECTOR</v>
      </c>
      <c r="H34" t="str">
        <v>Validate and reject invalid input</v>
      </c>
      <c r="I34" t="str">
        <v>MUST</v>
      </c>
      <c r="J34" t="str">
        <v>Business Rules.docx</v>
      </c>
    </row>
    <row r="35" xml:space="preserve">
      <c r="A35" t="str">
        <v>DR-INSPECTOR-04</v>
      </c>
      <c r="B35" t="str">
        <v>Data Validation</v>
      </c>
      <c r="C35" t="str">
        <v>INSPECTOR.Email</v>
      </c>
      <c r="D35" t="str" xml:space="preserve">
        <v xml:space="preserve">Bắt buộc phải có.
Không được để trống và không được trùng lặp.
Phải đúng định dạng email hợp lệ theo chuẩn hệ thống.</v>
      </c>
      <c r="E35" t="str">
        <v>System</v>
      </c>
      <c r="F35" t="str">
        <v>Create/Update record</v>
      </c>
      <c r="G35" t="str">
        <v>Entity=INSPECTOR</v>
      </c>
      <c r="H35" t="str">
        <v>Validate and reject invalid input</v>
      </c>
      <c r="I35" t="str">
        <v>MUST</v>
      </c>
      <c r="J35" t="str">
        <v>Current app flow</v>
      </c>
    </row>
    <row r="36" xml:space="preserve">
      <c r="A36" t="str">
        <v>DR-INSPECTOR-05</v>
      </c>
      <c r="B36" t="str">
        <v>Data Validation</v>
      </c>
      <c r="C36" t="str">
        <v>INSPECTOR.Phone Number</v>
      </c>
      <c r="D36" t="str" xml:space="preserve">
        <v xml:space="preserve">Bắt buộc phải có.
Không được để trống và không được trùng lặp.
Là số điện thoại di động Việt Nam hợp lệ.
Quy định cụ thể:
Bắt đầu bằng 0 hoặc +84
Tổng số chữ số:
0 + 9 chữ số → 10 chữ số
 (ví dụ: 0912345678)
+84 + 9 chữ số → 11 chữ số
 (ví dụ: +84912345678)
Chỉ chứa chữ số (ngoại trừ dấu + ở đầu nếu có)
Không chấp nhận:
Ký tự đặc biệt hoặc khoảng trắng</v>
      </c>
      <c r="E36" t="str">
        <v>System</v>
      </c>
      <c r="F36" t="str">
        <v>Create/Update record</v>
      </c>
      <c r="G36" t="str">
        <v>Entity=INSPECTOR</v>
      </c>
      <c r="H36" t="str">
        <v>Validate and reject invalid input</v>
      </c>
      <c r="I36" t="str">
        <v>MUST</v>
      </c>
      <c r="J36" t="str">
        <v>Business Rules.docx</v>
      </c>
    </row>
    <row r="37" xml:space="preserve">
      <c r="A37" t="str">
        <v>DR-BUYER-01</v>
      </c>
      <c r="B37" t="str">
        <v>Data Validation</v>
      </c>
      <c r="C37" t="str">
        <v>BUYER.Buyer ID</v>
      </c>
      <c r="D37" t="str" xml:space="preserve">
        <v xml:space="preserve">Không được để trống.
Có định dạng: B- + 6 ký tự (chữ cái B viết hoa theo tên bảng Buyer).
Là khóa chính và không trùng lặp.</v>
      </c>
      <c r="E37" t="str">
        <v>System</v>
      </c>
      <c r="F37" t="str">
        <v>Create/Update record</v>
      </c>
      <c r="G37" t="str">
        <v>Entity=BUYER</v>
      </c>
      <c r="H37" t="str">
        <v>Validate and reject invalid input</v>
      </c>
      <c r="I37" t="str">
        <v>MUST</v>
      </c>
      <c r="J37" t="str">
        <v>Business Rules.docx</v>
      </c>
    </row>
    <row r="38" xml:space="preserve">
      <c r="A38" t="str">
        <v>DR-BUYER-02</v>
      </c>
      <c r="B38" t="str">
        <v>Data Validation</v>
      </c>
      <c r="C38" t="str">
        <v>BUYER.Buyer Name</v>
      </c>
      <c r="D38" t="str" xml:space="preserve">
        <v xml:space="preserve">Không được để trống.
Độ dài từ 6 đến 30 ký tự.
Không chấp nhận ký tự đặc biệt.
Chỉ cho phép chữ cái và khoảng trắng.</v>
      </c>
      <c r="E38" t="str">
        <v>System</v>
      </c>
      <c r="F38" t="str">
        <v>Create/Update record</v>
      </c>
      <c r="G38" t="str">
        <v>Entity=BUYER</v>
      </c>
      <c r="H38" t="str">
        <v>Validate and reject invalid input</v>
      </c>
      <c r="I38" t="str">
        <v>MUST</v>
      </c>
      <c r="J38" t="str">
        <v>Business Rules.docx</v>
      </c>
    </row>
    <row r="39" xml:space="preserve">
      <c r="A39" t="str">
        <v>DR-BUYER-03</v>
      </c>
      <c r="B39" t="str">
        <v>Data Validation</v>
      </c>
      <c r="C39" t="str">
        <v>BUYER.Buyer Status</v>
      </c>
      <c r="D39" t="str" xml:space="preserve">
        <v xml:space="preserve">Không được để trống.
Chỉ nhận các giá trị:
ACTIVE – Tài khoản hoạt động bình thường
SUSPENDED – Bị tạm khóa, không được giao dịch
BANNED – Bị khóa vĩnh viễn
Khi tạo mới Buyer, trạng thái mặc định là ACTIVE.</v>
      </c>
      <c r="E39" t="str">
        <v>System</v>
      </c>
      <c r="F39" t="str">
        <v>Create/Update record</v>
      </c>
      <c r="G39" t="str">
        <v>Entity=BUYER</v>
      </c>
      <c r="H39" t="str">
        <v>Validate and reject invalid input</v>
      </c>
      <c r="I39" t="str">
        <v>MUST</v>
      </c>
      <c r="J39" t="str">
        <v>Business Rules.docx</v>
      </c>
    </row>
    <row r="40" xml:space="preserve">
      <c r="A40" t="str">
        <v>DR-BUYER-04</v>
      </c>
      <c r="B40" t="str">
        <v>Data Validation</v>
      </c>
      <c r="C40" t="str">
        <v>BUYER.Email</v>
      </c>
      <c r="D40" t="str" xml:space="preserve">
        <v xml:space="preserve">Bắt buộc phải có.
Không được để trống và không được trùng lặp.
Phải đúng định dạng email hợp lệ theo chuẩn hệ thống.</v>
      </c>
      <c r="E40" t="str">
        <v>System</v>
      </c>
      <c r="F40" t="str">
        <v>Create/Update record</v>
      </c>
      <c r="G40" t="str">
        <v>Entity=BUYER</v>
      </c>
      <c r="H40" t="str">
        <v>Validate and reject invalid input</v>
      </c>
      <c r="I40" t="str">
        <v>MUST</v>
      </c>
      <c r="J40" t="str">
        <v>Current app flow</v>
      </c>
    </row>
    <row r="41" xml:space="preserve">
      <c r="A41" t="str">
        <v>DR-BUYER-05</v>
      </c>
      <c r="B41" t="str">
        <v>Data Validation</v>
      </c>
      <c r="C41" t="str">
        <v>BUYER.Phone Number</v>
      </c>
      <c r="D41" t="str" xml:space="preserve">
        <v xml:space="preserve">Có thể để trống tùy scope. Nếu được khai báo thì phải là số điện thoại hợp lệ theo chuẩn hệ thống và không chứa ký tự không hợp lệ.</v>
      </c>
      <c r="E41" t="str">
        <v>System</v>
      </c>
      <c r="F41" t="str">
        <v>Create/Update record</v>
      </c>
      <c r="G41" t="str">
        <v>Entity=BUYER</v>
      </c>
      <c r="H41" t="str">
        <v>Validate and reject invalid input</v>
      </c>
      <c r="I41" t="str">
        <v>SHOULD</v>
      </c>
      <c r="J41" t="str">
        <v>Current app flow</v>
      </c>
    </row>
    <row r="42" xml:space="preserve">
      <c r="A42" t="str">
        <v>DR-POST-01</v>
      </c>
      <c r="B42" t="str">
        <v>Data Validation</v>
      </c>
      <c r="C42" t="str">
        <v>POST.Post ID</v>
      </c>
      <c r="D42" t="str" xml:space="preserve">
        <v xml:space="preserve">Không để trống_x000d_
Có định dạng: P- + 6 chữ số_x000d_
PK_x000d_
Không trùng lặp</v>
      </c>
      <c r="E42" t="str">
        <v>System</v>
      </c>
      <c r="F42" t="str">
        <v>Create/Update record</v>
      </c>
      <c r="G42" t="str">
        <v>Entity=POST</v>
      </c>
      <c r="H42" t="str">
        <v>Validate and reject invalid input</v>
      </c>
      <c r="I42" t="str">
        <v>MUST</v>
      </c>
      <c r="J42" t="str">
        <v>Business Rules.docx</v>
      </c>
    </row>
    <row r="43" xml:space="preserve">
      <c r="A43" t="str">
        <v>DR-POST-02</v>
      </c>
      <c r="B43" t="str">
        <v>Data Validation</v>
      </c>
      <c r="C43" t="str">
        <v>POST.Seller ID</v>
      </c>
      <c r="D43" t="str" xml:space="preserve">
        <v xml:space="preserve">Không được để trống.
Tham chiếu đến Seller hợp lệ.
Seller phải có trạng thái ACTIVE.</v>
      </c>
      <c r="E43" t="str">
        <v>System</v>
      </c>
      <c r="F43" t="str">
        <v>Create/Update record</v>
      </c>
      <c r="G43" t="str">
        <v>Entity=POST</v>
      </c>
      <c r="H43" t="str">
        <v>Validate and reject invalid input</v>
      </c>
      <c r="I43" t="str">
        <v>MUST</v>
      </c>
      <c r="J43" t="str">
        <v>Business Rules.docx</v>
      </c>
    </row>
    <row r="44" xml:space="preserve">
      <c r="A44" t="str">
        <v>DR-POST-03</v>
      </c>
      <c r="B44" t="str">
        <v>Data Validation</v>
      </c>
      <c r="C44" t="str">
        <v>POST.Bike ID</v>
      </c>
      <c r="D44" t="str" xml:space="preserve">
        <v xml:space="preserve">Không được để trống.
Tham chiếu đến Bike hợp lệ trong hệ thống.</v>
      </c>
      <c r="E44" t="str">
        <v>System</v>
      </c>
      <c r="F44" t="str">
        <v>Create/Update record</v>
      </c>
      <c r="G44" t="str">
        <v>Entity=POST</v>
      </c>
      <c r="H44" t="str">
        <v>Validate and reject invalid input</v>
      </c>
      <c r="I44" t="str">
        <v>MUST</v>
      </c>
      <c r="J44" t="str">
        <v>Business Rules.docx</v>
      </c>
    </row>
    <row r="45" xml:space="preserve">
      <c r="A45" t="str">
        <v>DR-POST-04</v>
      </c>
      <c r="B45" t="str">
        <v>Data Validation</v>
      </c>
      <c r="C45" t="str">
        <v>POST.Title</v>
      </c>
      <c r="D45" t="str" xml:space="preserve">
        <v xml:space="preserve">Không được để trống.
Độ dài từ 6 đến 100 ký tự.
Không chấp nhận nội dung chỉ chứa khoảng trắng.</v>
      </c>
      <c r="E45" t="str">
        <v>System</v>
      </c>
      <c r="F45" t="str">
        <v>Create/Update record</v>
      </c>
      <c r="G45" t="str">
        <v>Entity=POST</v>
      </c>
      <c r="H45" t="str">
        <v>Validate and reject invalid input</v>
      </c>
      <c r="I45" t="str">
        <v>MUST</v>
      </c>
      <c r="J45" t="str">
        <v>Business Rules.docx</v>
      </c>
    </row>
    <row r="46" xml:space="preserve">
      <c r="A46" t="str">
        <v>DR-POST-05</v>
      </c>
      <c r="B46" t="str">
        <v>Data Validation</v>
      </c>
      <c r="C46" t="str">
        <v>POST.Price</v>
      </c>
      <c r="D46" t="str" xml:space="preserve">
        <v xml:space="preserve">Không được để trống.
Giá trị phải lớn hơn 0.
Đơn vị tiền tệ: VND.</v>
      </c>
      <c r="E46" t="str">
        <v>System</v>
      </c>
      <c r="F46" t="str">
        <v>Create/Update record</v>
      </c>
      <c r="G46" t="str">
        <v>Entity=POST</v>
      </c>
      <c r="H46" t="str">
        <v>Validate and reject invalid input</v>
      </c>
      <c r="I46" t="str">
        <v>MUST</v>
      </c>
      <c r="J46" t="str">
        <v>Business Rules.docx</v>
      </c>
    </row>
    <row r="47" xml:space="preserve">
      <c r="A47" t="str">
        <v>DR-POST-06</v>
      </c>
      <c r="B47" t="str">
        <v>Data Validation</v>
      </c>
      <c r="C47" t="str">
        <v>POST.Description</v>
      </c>
      <c r="D47" t="str" xml:space="preserve">
        <v xml:space="preserve">Không được để trống.
Độ dài từ 10 đến 2000 ký tự.
Không chấp nhận nội dung chỉ chứa khoảng trắng.
Không chứa nội dung vi phạm quy định hệ thống.</v>
      </c>
      <c r="E47" t="str">
        <v>System</v>
      </c>
      <c r="F47" t="str">
        <v>Create/Update record</v>
      </c>
      <c r="G47" t="str">
        <v>Entity=POST</v>
      </c>
      <c r="H47" t="str">
        <v>Validate and reject invalid input</v>
      </c>
      <c r="I47" t="str">
        <v>MUST</v>
      </c>
      <c r="J47" t="str">
        <v>Business Rules.docx</v>
      </c>
    </row>
    <row r="48" xml:space="preserve">
      <c r="A48" t="str">
        <v>DR-POST-07</v>
      </c>
      <c r="B48" t="str">
        <v>Data Validation</v>
      </c>
      <c r="C48" t="str">
        <v>POST.Create Date</v>
      </c>
      <c r="D48" t="str" xml:space="preserve">
        <v xml:space="preserve">Không được để trống.
Là thời điểm tạo tin đăng.
Được hệ thống tự động gán khi Post được tạo lần đầu.
Không cho phép Seller chỉnh sửa sau khi đã tạo.
Giá trị thời gian được lấy theo thời gian máy chủ của hệ thống.</v>
      </c>
      <c r="E48" t="str">
        <v>System</v>
      </c>
      <c r="F48" t="str">
        <v>Create/Update record</v>
      </c>
      <c r="G48" t="str">
        <v>Entity=POST</v>
      </c>
      <c r="H48" t="str">
        <v>Validate and reject invalid input</v>
      </c>
      <c r="I48" t="str">
        <v>MUST</v>
      </c>
      <c r="J48" t="str">
        <v>Business Rules.docx</v>
      </c>
    </row>
    <row r="49" xml:space="preserve">
      <c r="A49" t="str">
        <v>DR-POST-08</v>
      </c>
      <c r="B49" t="str">
        <v>Data Validation</v>
      </c>
      <c r="C49" t="str">
        <v>POST.Post Status</v>
      </c>
      <c r="D49" t="str" xml:space="preserve">
        <v xml:space="preserve">Không được để trống.
Chỉ nhận các giá trị:
DRAFT – Tin nháp, Seller được chỉnh sửa
PENDING_INSPECTION – Chờ Inspector kiểm định
NEED_UPDATE – Yêu cầu Seller cập nhật thông tin
PUBLISHED – Tin đã được đăng bán
REJECTED – Tin bị từ chối, không được đăng bán
RESERVED / IN_TRANSACTION – Đang có giao dịch
SOLD – Tin đã bán thành công
Khi tạo mới Post, trạng thái mặc định là DRAFT.</v>
      </c>
      <c r="E49" t="str">
        <v>System</v>
      </c>
      <c r="F49" t="str">
        <v>Create/Update record</v>
      </c>
      <c r="G49" t="str">
        <v>Entity=POST</v>
      </c>
      <c r="H49" t="str">
        <v>Validate and reject invalid input</v>
      </c>
      <c r="I49" t="str">
        <v>MUST</v>
      </c>
      <c r="J49" t="str">
        <v>Business Rules.docx</v>
      </c>
    </row>
    <row r="50" xml:space="preserve">
      <c r="A50" t="str">
        <v>DR-INSPECTION_REPORT-01</v>
      </c>
      <c r="B50" t="str">
        <v>Data Validation</v>
      </c>
      <c r="C50" t="str">
        <v>INSPECTION_REPORT.Inspection Report ID</v>
      </c>
      <c r="D50" t="str" xml:space="preserve">
        <v xml:space="preserve">Không được để trống.
Có định dạng: R- + 6 chữ số (chữ cái R viết hoa theo tên bảng Inspection_Report).
Là khóa chính và không trùng lặp.
̉</v>
      </c>
      <c r="E50" t="str">
        <v>System</v>
      </c>
      <c r="F50" t="str">
        <v>Create/Update record</v>
      </c>
      <c r="G50" t="str">
        <v>Entity=INSPECTION_REPORT</v>
      </c>
      <c r="H50" t="str">
        <v>Validate and reject invalid input</v>
      </c>
      <c r="I50" t="str">
        <v>MUST</v>
      </c>
      <c r="J50" t="str">
        <v>Business Rules.docx</v>
      </c>
    </row>
    <row r="51" xml:space="preserve">
      <c r="A51" t="str">
        <v>DR-INSPECTION_REPORT-02</v>
      </c>
      <c r="B51" t="str">
        <v>Data Validation</v>
      </c>
      <c r="C51" t="str">
        <v>INSPECTION_REPORT.Inspector ID</v>
      </c>
      <c r="D51" t="str" xml:space="preserve">
        <v xml:space="preserve">Không được để trống.
Tham chiếu đến Inspector hợp lệ trong hệ thống.
Inspector phải có trạng thái ACTIVE.</v>
      </c>
      <c r="E51" t="str">
        <v>System</v>
      </c>
      <c r="F51" t="str">
        <v>Create/Update record</v>
      </c>
      <c r="G51" t="str">
        <v>Entity=INSPECTION_REPORT</v>
      </c>
      <c r="H51" t="str">
        <v>Validate and reject invalid input</v>
      </c>
      <c r="I51" t="str">
        <v>MUST</v>
      </c>
      <c r="J51" t="str">
        <v>Business Rules.docx</v>
      </c>
    </row>
    <row r="52" xml:space="preserve">
      <c r="A52" t="str">
        <v>DR-INSPECTION_REPORT-03</v>
      </c>
      <c r="B52" t="str">
        <v>Data Validation</v>
      </c>
      <c r="C52" t="str">
        <v>INSPECTION_REPORT.Bike ID</v>
      </c>
      <c r="D52" t="str" xml:space="preserve">
        <v xml:space="preserve">Không được để trống.
Tham chiếu đến Bike hợp lệ trong hệ thống.
Mỗi báo cáo kiểm định chỉ gắn với một Bike.</v>
      </c>
      <c r="E52" t="str">
        <v>System</v>
      </c>
      <c r="F52" t="str">
        <v>Create/Update record</v>
      </c>
      <c r="G52" t="str">
        <v>Entity=INSPECTION_REPORT</v>
      </c>
      <c r="H52" t="str">
        <v>Validate and reject invalid input</v>
      </c>
      <c r="I52" t="str">
        <v>MUST</v>
      </c>
      <c r="J52" t="str">
        <v>Business Rules.docx</v>
      </c>
    </row>
    <row r="53" xml:space="preserve">
      <c r="A53" t="str">
        <v>DR-INSPECTION_REPORT-04</v>
      </c>
      <c r="B53" t="str">
        <v>Data Validation</v>
      </c>
      <c r="C53" t="str">
        <v>INSPECTION_REPORT.Inspection Date</v>
      </c>
      <c r="D53" t="str" xml:space="preserve">
        <v xml:space="preserve">Không được để trống.
Là thời điểm Inspector thực hiện kiểm định.
Được hệ thống tự động ghi nhận khi Inspector gửi báo cáo kiểm định.
Giá trị thời gian được lấy theo thời gian máy chủ của hệ thống.
Không cho phép chỉnh sửa sau khi đã ghi nhận.</v>
      </c>
      <c r="E53" t="str">
        <v>System</v>
      </c>
      <c r="F53" t="str">
        <v>Create/Update record</v>
      </c>
      <c r="G53" t="str">
        <v>Entity=INSPECTION_REPORT</v>
      </c>
      <c r="H53" t="str">
        <v>Validate and reject invalid input</v>
      </c>
      <c r="I53" t="str">
        <v>MUST</v>
      </c>
      <c r="J53" t="str">
        <v>Business Rules.docx</v>
      </c>
    </row>
    <row r="54" xml:space="preserve">
      <c r="A54" t="str">
        <v>DR-INSPECTION_REPORT-05</v>
      </c>
      <c r="B54" t="str">
        <v>Data Validation</v>
      </c>
      <c r="C54" t="str">
        <v>INSPECTION_REPORT.Inspection Result</v>
      </c>
      <c r="D54" t="str" xml:space="preserve">
        <v xml:space="preserve">Không được để trống.
Chỉ nhận các giá trị:
APPROVE – Xe đạt yêu cầu, được phép đăng bán
REJECT – Xe không đạt yêu cầu, không được đăng bán
NEED_UPDATE – Yêu cầu Seller cập nhật thêm thông tin/hình ảnh
Kết quả kiểm định do Inspector chịu trách nhiệm xác nhận.</v>
      </c>
      <c r="E54" t="str">
        <v>System</v>
      </c>
      <c r="F54" t="str">
        <v>Create/Update record</v>
      </c>
      <c r="G54" t="str">
        <v>Entity=INSPECTION_REPORT</v>
      </c>
      <c r="H54" t="str">
        <v>Validate and reject invalid input</v>
      </c>
      <c r="I54" t="str">
        <v>MUST</v>
      </c>
      <c r="J54" t="str">
        <v>Business Rules.docx</v>
      </c>
    </row>
    <row r="55" xml:space="preserve">
      <c r="A55" t="str">
        <v>DR-INSPECTION_REPORT-06</v>
      </c>
      <c r="B55" t="str">
        <v>Data Validation</v>
      </c>
      <c r="C55" t="str">
        <v>INSPECTION_REPORT.Inspection Note</v>
      </c>
      <c r="D55" t="str" xml:space="preserve">
        <v xml:space="preserve">Có thể để trống.
Nếu có:
Phải mô tả rõ tình trạng xe hoặc lý do của kết quả kiểm định.
Không chứa nội dung vi phạm quy định hệ thống.
Inspection Responsibility
Mỗi Inspection Report chỉ do một Inspector tạo.
Một Inspector có thể tạo nhiều Inspection Report.
Inspector không được chỉnh sửa báo cáo sau khi đã gửi kết quả cuối cùng.</v>
      </c>
      <c r="E55" t="str">
        <v>System</v>
      </c>
      <c r="F55" t="str">
        <v>Create/Update record</v>
      </c>
      <c r="G55" t="str">
        <v>Entity=INSPECTION_REPORT</v>
      </c>
      <c r="H55" t="str">
        <v>Validate and reject invalid input</v>
      </c>
      <c r="I55" t="str">
        <v>MUST</v>
      </c>
      <c r="J55" t="str">
        <v>Business Rules.docx</v>
      </c>
    </row>
    <row r="56" xml:space="preserve">
      <c r="A56" t="str">
        <v>DR-ORDER-01</v>
      </c>
      <c r="B56" t="str">
        <v>Data Validation</v>
      </c>
      <c r="C56" t="str">
        <v>ORDER.Order ID</v>
      </c>
      <c r="D56" t="str" xml:space="preserve">
        <v xml:space="preserve">Không được để trống.
Có định dạng: O- + 6 chữ số (chữ cái O viết hoa theo tên bảng Order).
Là khóa chính và không trùng lặp.</v>
      </c>
      <c r="E56" t="str">
        <v>System</v>
      </c>
      <c r="F56" t="str">
        <v>Create/Update record</v>
      </c>
      <c r="G56" t="str">
        <v>Entity=ORDER</v>
      </c>
      <c r="H56" t="str">
        <v>Validate and reject invalid input</v>
      </c>
      <c r="I56" t="str">
        <v>MUST</v>
      </c>
      <c r="J56" t="str">
        <v>Business Rules.docx</v>
      </c>
    </row>
    <row r="57" xml:space="preserve">
      <c r="A57" t="str">
        <v>DR-ORDER-02</v>
      </c>
      <c r="B57" t="str">
        <v>Data Validation</v>
      </c>
      <c r="C57" t="str">
        <v>ORDER.Buyer ID</v>
      </c>
      <c r="D57" t="str" xml:space="preserve">
        <v xml:space="preserve">Không được để trống.
Tham chiếu đến Buyer hợp lệ trong hệ thống.
Buyer phải có trạng thái ACTIVE.</v>
      </c>
      <c r="E57" t="str">
        <v>System</v>
      </c>
      <c r="F57" t="str">
        <v>Create/Update record</v>
      </c>
      <c r="G57" t="str">
        <v>Entity=ORDER</v>
      </c>
      <c r="H57" t="str">
        <v>Validate and reject invalid input</v>
      </c>
      <c r="I57" t="str">
        <v>MUST</v>
      </c>
      <c r="J57" t="str">
        <v>Business Rules.docx</v>
      </c>
    </row>
    <row r="58" xml:space="preserve">
      <c r="A58" t="str">
        <v>DR-ORDER-03</v>
      </c>
      <c r="B58" t="str">
        <v>Data Validation</v>
      </c>
      <c r="C58" t="str">
        <v>ORDER.Bike ID</v>
      </c>
      <c r="D58" t="str" xml:space="preserve">
        <v xml:space="preserve">Không được để trống.
Tham chiếu đến Bike hợp lệ trong hệ thống.</v>
      </c>
      <c r="E58" t="str">
        <v>System</v>
      </c>
      <c r="F58" t="str">
        <v>Create/Update record</v>
      </c>
      <c r="G58" t="str">
        <v>Entity=ORDER</v>
      </c>
      <c r="H58" t="str">
        <v>Validate and reject invalid input</v>
      </c>
      <c r="I58" t="str">
        <v>MUST</v>
      </c>
      <c r="J58" t="str">
        <v>Business Rules.docx</v>
      </c>
    </row>
    <row r="59" xml:space="preserve">
      <c r="A59" t="str">
        <v>DR-ORDER-04</v>
      </c>
      <c r="B59" t="str">
        <v>Data Validation</v>
      </c>
      <c r="C59" t="str">
        <v>ORDER.Order Date</v>
      </c>
      <c r="D59" t="str" xml:space="preserve">
        <v xml:space="preserve">Không được để trống.
Là thời điểm Buyer tạo đơn (đặt cọc/đặt mua).
Được hệ thống tự động ghi nhận khi Buyer tạo Order.
Giá trị thời gian được lấy theo thời gian máy chủ của hệ thống.
Không cho phép chỉnh sửa sau khi đã ghi nhận.</v>
      </c>
      <c r="E59" t="str">
        <v>System</v>
      </c>
      <c r="F59" t="str">
        <v>Create/Update record</v>
      </c>
      <c r="G59" t="str">
        <v>Entity=ORDER</v>
      </c>
      <c r="H59" t="str">
        <v>Validate and reject invalid input</v>
      </c>
      <c r="I59" t="str">
        <v>MUST</v>
      </c>
      <c r="J59" t="str">
        <v>Business Rules.docx</v>
      </c>
    </row>
    <row r="60" xml:space="preserve">
      <c r="A60" t="str">
        <v>DR-ORDER-05</v>
      </c>
      <c r="B60" t="str">
        <v>Data Validation</v>
      </c>
      <c r="C60" t="str">
        <v>ORDER.Order Status</v>
      </c>
      <c r="D60" t="str" xml:space="preserve">
        <v xml:space="preserve">Không được để trống.
Chỉ nhận các giá trị:
PENDING_DEPOSIT – Chờ đặt cọc
DEPOSITED – Đã đặt cọc thành công
AWAITING_REMAINING_PAYMENT – Chờ thanh toán phần còn lại
IN_TRANSACTION – Đang xử lý giao dịch
COMPLETED – Giao dịch hoàn tất
CANCELLED – Giao dịch bị hủy
FAILED – Giao dịch thất bại
Khi tạo mới Order, trạng thái mặc định là PENDING_DEPOSIT.</v>
      </c>
      <c r="E60" t="str">
        <v>System</v>
      </c>
      <c r="F60" t="str">
        <v>Create/Update record</v>
      </c>
      <c r="G60" t="str">
        <v>Entity=ORDER</v>
      </c>
      <c r="H60" t="str">
        <v>Validate and reject invalid input</v>
      </c>
      <c r="I60" t="str">
        <v>MUST</v>
      </c>
      <c r="J60" t="str">
        <v>Business Rules.docx</v>
      </c>
    </row>
    <row r="61" xml:space="preserve">
      <c r="A61" t="str">
        <v>DR-REVIEW-01</v>
      </c>
      <c r="B61" t="str">
        <v>Data Validation</v>
      </c>
      <c r="C61" t="str">
        <v>REVIEW.Review ID</v>
      </c>
      <c r="D61" t="str" xml:space="preserve">
        <v xml:space="preserve">Không được để trống.
Có định dạng: V- + 6 chữ số (chữ cái V viết hoa theo tên bảng Review).
Là khóa chính và không trùng lặp.</v>
      </c>
      <c r="E61" t="str">
        <v>System</v>
      </c>
      <c r="F61" t="str">
        <v>Create/Update record</v>
      </c>
      <c r="G61" t="str">
        <v>Entity=REVIEW</v>
      </c>
      <c r="H61" t="str">
        <v>Validate and reject invalid input</v>
      </c>
      <c r="I61" t="str">
        <v>MUST</v>
      </c>
      <c r="J61" t="str">
        <v>Business Rules.docx</v>
      </c>
    </row>
    <row r="62" xml:space="preserve">
      <c r="A62" t="str">
        <v>DR-REVIEW-02</v>
      </c>
      <c r="B62" t="str">
        <v>Data Validation</v>
      </c>
      <c r="C62" t="str">
        <v>REVIEW.Order ID</v>
      </c>
      <c r="D62" t="str" xml:space="preserve">
        <v xml:space="preserve">Không được để trống.
Tham chiếu đến Order hợp lệ trong hệ thống.
Mỗi Order chỉ có tối đa 1 Review.</v>
      </c>
      <c r="E62" t="str">
        <v>System</v>
      </c>
      <c r="F62" t="str">
        <v>Create/Update record</v>
      </c>
      <c r="G62" t="str">
        <v>Entity=REVIEW</v>
      </c>
      <c r="H62" t="str">
        <v>Validate and reject invalid input</v>
      </c>
      <c r="I62" t="str">
        <v>MUST</v>
      </c>
      <c r="J62" t="str">
        <v>Business Rules.docx</v>
      </c>
    </row>
    <row r="63" xml:space="preserve">
      <c r="A63" t="str">
        <v>DR-REVIEW-03</v>
      </c>
      <c r="B63" t="str">
        <v>Data Validation</v>
      </c>
      <c r="C63" t="str">
        <v>REVIEW.Buyer ID</v>
      </c>
      <c r="D63" t="str" xml:space="preserve">
        <v xml:space="preserve">Không được để trống.
Tham chiếu đến Buyer hợp lệ trong hệ thống.
Buyer phải có trạng thái ACTIVE.</v>
      </c>
      <c r="E63" t="str">
        <v>System</v>
      </c>
      <c r="F63" t="str">
        <v>Create/Update record</v>
      </c>
      <c r="G63" t="str">
        <v>Entity=REVIEW</v>
      </c>
      <c r="H63" t="str">
        <v>Validate and reject invalid input</v>
      </c>
      <c r="I63" t="str">
        <v>MUST</v>
      </c>
      <c r="J63" t="str">
        <v>Business Rules.docx</v>
      </c>
    </row>
    <row r="64" xml:space="preserve">
      <c r="A64" t="str">
        <v>DR-REVIEW-04</v>
      </c>
      <c r="B64" t="str">
        <v>Data Validation</v>
      </c>
      <c r="C64" t="str">
        <v>REVIEW.Rating</v>
      </c>
      <c r="D64" t="str" xml:space="preserve">
        <v xml:space="preserve">Không được để trống.
Là số nguyên từ 1 đến 5.
1 = rất không hài lòng, 5 = rất hài lòng.</v>
      </c>
      <c r="E64" t="str">
        <v>System</v>
      </c>
      <c r="F64" t="str">
        <v>Create/Update record</v>
      </c>
      <c r="G64" t="str">
        <v>Entity=REVIEW</v>
      </c>
      <c r="H64" t="str">
        <v>Validate and reject invalid input</v>
      </c>
      <c r="I64" t="str">
        <v>MUST</v>
      </c>
      <c r="J64" t="str">
        <v>Business Rules.docx</v>
      </c>
    </row>
    <row r="65" xml:space="preserve">
      <c r="A65" t="str">
        <v>DR-REVIEW-05</v>
      </c>
      <c r="B65" t="str">
        <v>Data Validation</v>
      </c>
      <c r="C65" t="str">
        <v>REVIEW.Comment</v>
      </c>
      <c r="D65" t="str" xml:space="preserve">
        <v xml:space="preserve">Có thể để trống.
Nếu có:
Độ dài tối đa 500 ký tự.
Không chấp nhận nội dung chỉ chứa khoảng trắng.
Không chứa nội dung vi phạm quy định hệ thống.</v>
      </c>
      <c r="E65" t="str">
        <v>System</v>
      </c>
      <c r="F65" t="str">
        <v>Create/Update record</v>
      </c>
      <c r="G65" t="str">
        <v>Entity=REVIEW</v>
      </c>
      <c r="H65" t="str">
        <v>Validate and reject invalid input</v>
      </c>
      <c r="I65" t="str">
        <v>MUST</v>
      </c>
      <c r="J65" t="str">
        <v>Business Rules.docx</v>
      </c>
    </row>
    <row r="66" xml:space="preserve">
      <c r="A66" t="str">
        <v>DR-REVIEW-06</v>
      </c>
      <c r="B66" t="str">
        <v>Data Validation</v>
      </c>
      <c r="C66" t="str">
        <v>REVIEW.Review Date</v>
      </c>
      <c r="D66" t="str" xml:space="preserve">
        <v xml:space="preserve">Không được để trống.
Là thời điểm Buyer gửi đánh giá.
Được hệ thống tự động ghi nhận theo thời gian máy chủ.
Không cho phép chỉnh sửa sau khi đã ghi nhận.</v>
      </c>
      <c r="E66" t="str">
        <v>System</v>
      </c>
      <c r="F66" t="str">
        <v>Create/Update record</v>
      </c>
      <c r="G66" t="str">
        <v>Entity=REVIEW</v>
      </c>
      <c r="H66" t="str">
        <v>Validate and reject invalid input</v>
      </c>
      <c r="I66" t="str">
        <v>MUST</v>
      </c>
      <c r="J66" t="str">
        <v>Business Rules.docx</v>
      </c>
    </row>
    <row r="67" xml:space="preserve">
      <c r="A67" t="str">
        <v>DR-REVIEW-07</v>
      </c>
      <c r="B67" t="str">
        <v>Data Validation</v>
      </c>
      <c r="C67" t="str">
        <v>REVIEW.Review Status</v>
      </c>
      <c r="D67" t="str" xml:space="preserve">
        <v xml:space="preserve">Không được để trống.
Chỉ nhận các giá trị:
VISIBLE – Hiển thị công khai
HIDDEN – Ẩn do vi phạm / bị báo cáo
Khi tạo mới Review, trạng thái mặc định là VISIBLE.</v>
      </c>
      <c r="E67" t="str">
        <v>System</v>
      </c>
      <c r="F67" t="str">
        <v>Create/Update record</v>
      </c>
      <c r="G67" t="str">
        <v>Entity=REVIEW</v>
      </c>
      <c r="H67" t="str">
        <v>Validate and reject invalid input</v>
      </c>
      <c r="I67" t="str">
        <v>MUST</v>
      </c>
      <c r="J67" t="str">
        <v>Business Rules.docx</v>
      </c>
    </row>
    <row r="68" xml:space="preserve">
      <c r="A68" t="str">
        <v>DR-MEDIA-01</v>
      </c>
      <c r="B68" t="str">
        <v>Data Validation</v>
      </c>
      <c r="C68" t="str">
        <v>MEDIA.Media ID</v>
      </c>
      <c r="D68" t="str" xml:space="preserve">
        <v xml:space="preserve">Không được để trống.
Có định dạng: M- + 6 chữ số (chữ cái M viết hoa theo tên bảng Media).
Là khóa chính và không trùng lặp.</v>
      </c>
      <c r="E68" t="str">
        <v>System</v>
      </c>
      <c r="F68" t="str">
        <v>Create/Update record</v>
      </c>
      <c r="G68" t="str">
        <v>Entity=MEDIA</v>
      </c>
      <c r="H68" t="str">
        <v>Validate and reject invalid input</v>
      </c>
      <c r="I68" t="str">
        <v>MUST</v>
      </c>
      <c r="J68" t="str">
        <v>Business Rules.docx</v>
      </c>
    </row>
    <row r="69" xml:space="preserve">
      <c r="A69" t="str">
        <v>DR-MEDIA-02</v>
      </c>
      <c r="B69" t="str">
        <v>Data Validation</v>
      </c>
      <c r="C69" t="str">
        <v>MEDIA.Post ID</v>
      </c>
      <c r="D69" t="str" xml:space="preserve">
        <v xml:space="preserve">Không được để trống.
Tham chiếu đến Post hợp lệ trong hệ thống.
Mỗi Media chỉ thuộc về một Post.</v>
      </c>
      <c r="E69" t="str">
        <v>System</v>
      </c>
      <c r="F69" t="str">
        <v>Create/Update record</v>
      </c>
      <c r="G69" t="str">
        <v>Entity=MEDIA</v>
      </c>
      <c r="H69" t="str">
        <v>Validate and reject invalid input</v>
      </c>
      <c r="I69" t="str">
        <v>MUST</v>
      </c>
      <c r="J69" t="str">
        <v>Business Rules.docx</v>
      </c>
    </row>
    <row r="70" xml:space="preserve">
      <c r="A70" t="str">
        <v>DR-MEDIA-03</v>
      </c>
      <c r="B70" t="str">
        <v>Data Validation</v>
      </c>
      <c r="C70" t="str">
        <v>MEDIA.Media URL</v>
      </c>
      <c r="D70" t="str" xml:space="preserve">
        <v xml:space="preserve">Không được để trống.
Là đường dẫn hợp lệ trỏ đến file ảnh/video của tin đăng.
Không chứa khoảng trắng.</v>
      </c>
      <c r="E70" t="str">
        <v>System</v>
      </c>
      <c r="F70" t="str">
        <v>Create/Update record</v>
      </c>
      <c r="G70" t="str">
        <v>Entity=MEDIA</v>
      </c>
      <c r="H70" t="str">
        <v>Validate and reject invalid input</v>
      </c>
      <c r="I70" t="str">
        <v>MUST</v>
      </c>
      <c r="J70" t="str">
        <v>Business Rules.docx</v>
      </c>
    </row>
    <row r="71" xml:space="preserve">
      <c r="A71" t="str">
        <v>DR-MEDIA-04</v>
      </c>
      <c r="B71" t="str">
        <v>Data Validation</v>
      </c>
      <c r="C71" t="str">
        <v>MEDIA.Media Type</v>
      </c>
      <c r="D71" t="str" xml:space="preserve">
        <v xml:space="preserve">Không được để trống.
Chỉ nhận các giá trị:
IMAGE – Ảnh
VIDEO – Video
Mặc định khi upload: IMAGE (nếu không khai báo rõ).</v>
      </c>
      <c r="E71" t="str">
        <v>System</v>
      </c>
      <c r="F71" t="str">
        <v>Create/Update record</v>
      </c>
      <c r="G71" t="str">
        <v>Entity=MEDIA</v>
      </c>
      <c r="H71" t="str">
        <v>Validate and reject invalid input</v>
      </c>
      <c r="I71" t="str">
        <v>MUST</v>
      </c>
      <c r="J71" t="str">
        <v>Business Rules.docx</v>
      </c>
    </row>
    <row r="72" xml:space="preserve">
      <c r="A72" t="str">
        <v>DR-MEDIA-05</v>
      </c>
      <c r="B72" t="str">
        <v>Data Validation</v>
      </c>
      <c r="C72" t="str">
        <v>MEDIA.Upload Date</v>
      </c>
      <c r="D72" t="str" xml:space="preserve">
        <v xml:space="preserve">Không được để trống.
Là thời điểm Seller tải media lên hệ thống.
Được hệ thống tự động ghi nhận theo thời gian máy chủ.
Không cho phép chỉnh sửa sau khi đã ghi nhận.</v>
      </c>
      <c r="E72" t="str">
        <v>System</v>
      </c>
      <c r="F72" t="str">
        <v>Create/Update record</v>
      </c>
      <c r="G72" t="str">
        <v>Entity=MEDIA</v>
      </c>
      <c r="H72" t="str">
        <v>Validate and reject invalid input</v>
      </c>
      <c r="I72" t="str">
        <v>MUST</v>
      </c>
      <c r="J72" t="str">
        <v>Business Rules.docx</v>
      </c>
    </row>
    <row r="73" xml:space="preserve">
      <c r="A73" t="str">
        <v>DR-MEDIA-06</v>
      </c>
      <c r="B73" t="str">
        <v>Data Validation</v>
      </c>
      <c r="C73" t="str">
        <v>MEDIA.Media Status</v>
      </c>
      <c r="D73" t="str" xml:space="preserve">
        <v xml:space="preserve">Không được để trống.
Chỉ nhận các giá trị:
ACTIVE – Media hợp lệ, được hiển thị
HIDDEN – Bị ẩn (do Post cần cập nhật / vi phạm / bị report)
DELETED – Đã xóa (không hiển thị)
Khi tạo mới Media, trạng thái mặc định là ACTIVE.</v>
      </c>
      <c r="E73" t="str">
        <v>System</v>
      </c>
      <c r="F73" t="str">
        <v>Create/Update record</v>
      </c>
      <c r="G73" t="str">
        <v>Entity=MEDIA</v>
      </c>
      <c r="H73" t="str">
        <v>Validate and reject invalid input</v>
      </c>
      <c r="I73" t="str">
        <v>MUST</v>
      </c>
      <c r="J73" t="str">
        <v>Business Rules.docx</v>
      </c>
    </row>
    <row r="74" xml:space="preserve">
      <c r="A74" t="str">
        <v>DR-BIKE-01</v>
      </c>
      <c r="B74" t="str">
        <v>Data Validation</v>
      </c>
      <c r="C74" t="str">
        <v>BIKE.Bike ID</v>
      </c>
      <c r="D74" t="str" xml:space="preserve">
        <v xml:space="preserve">Không được để trống.
Có định dạng: K- + 6 chữ số (chữ cái K viết hoa theo tên bảng Bike).
Là khóa chính và không trùng lặp.</v>
      </c>
      <c r="E74" t="str">
        <v>System</v>
      </c>
      <c r="F74" t="str">
        <v>Create/Update record</v>
      </c>
      <c r="G74" t="str">
        <v>Entity=BIKE</v>
      </c>
      <c r="H74" t="str">
        <v>Validate and reject invalid input</v>
      </c>
      <c r="I74" t="str">
        <v>MUST</v>
      </c>
      <c r="J74" t="str">
        <v>Business Rules.docx</v>
      </c>
    </row>
    <row r="75" xml:space="preserve">
      <c r="A75" t="str">
        <v>DR-BIKE-02</v>
      </c>
      <c r="B75" t="str">
        <v>Data Validation</v>
      </c>
      <c r="C75" t="str">
        <v>BIKE.Brand</v>
      </c>
      <c r="D75" t="str" xml:space="preserve">
        <v xml:space="preserve">Không được để trống.
Tham chiếu đến Brand Category hợp lệ trong hệ thống.
Không cho phép nhập tay tên brand.
Brand phải tồn tại trong bảng Brand Category và đang ở trạng thái ACTIVE.</v>
      </c>
      <c r="E75" t="str">
        <v>System</v>
      </c>
      <c r="F75" t="str">
        <v>Create/Update record</v>
      </c>
      <c r="G75" t="str">
        <v>Entity=BIKE</v>
      </c>
      <c r="H75" t="str">
        <v>Validate and reject invalid input</v>
      </c>
      <c r="I75" t="str">
        <v>MUST</v>
      </c>
      <c r="J75" t="str">
        <v>Business Rules.docx</v>
      </c>
    </row>
    <row r="76" xml:space="preserve">
      <c r="A76" t="str">
        <v>DR-BIKE-03</v>
      </c>
      <c r="B76" t="str">
        <v>Data Validation</v>
      </c>
      <c r="C76" t="str">
        <v>BIKE.Model</v>
      </c>
      <c r="D76" t="str" xml:space="preserve">
        <v xml:space="preserve">Không được để trống.
Độ dài từ 2 đến 50 ký tự.
Không chấp nhận ký tự đặc biệt.
Chỉ cho phép chữ cái, số và khoảng trắng.</v>
      </c>
      <c r="E76" t="str">
        <v>System</v>
      </c>
      <c r="F76" t="str">
        <v>Create/Update record</v>
      </c>
      <c r="G76" t="str">
        <v>Entity=BIKE</v>
      </c>
      <c r="H76" t="str">
        <v>Validate and reject invalid input</v>
      </c>
      <c r="I76" t="str">
        <v>MUST</v>
      </c>
      <c r="J76" t="str">
        <v>Business Rules.docx</v>
      </c>
    </row>
    <row r="77" xml:space="preserve">
      <c r="A77" t="str">
        <v>DR-BIKE-04</v>
      </c>
      <c r="B77" t="str">
        <v>Data Validation</v>
      </c>
      <c r="C77" t="str">
        <v>BIKE.Type</v>
      </c>
      <c r="D77" t="str" xml:space="preserve">
        <v xml:space="preserve">Không được để trống.
Chỉ nhận các giá trị:
ROAD – Xe đạp đua
MTB – Xe địa hình
GRAVEL – Xe gravel
CITY – Xe thành phố
TOURING – Xe touring
OTHER – Khác</v>
      </c>
      <c r="E77" t="str">
        <v>System</v>
      </c>
      <c r="F77" t="str">
        <v>Create/Update record</v>
      </c>
      <c r="G77" t="str">
        <v>Entity=BIKE</v>
      </c>
      <c r="H77" t="str">
        <v>Validate and reject invalid input</v>
      </c>
      <c r="I77" t="str">
        <v>MUST</v>
      </c>
      <c r="J77" t="str">
        <v>Business Rules.docx</v>
      </c>
    </row>
    <row r="78" xml:space="preserve">
      <c r="A78" t="str">
        <v>DR-BIKE-05</v>
      </c>
      <c r="B78" t="str">
        <v>Data Validation</v>
      </c>
      <c r="C78" t="str">
        <v>BIKE.Frame Size</v>
      </c>
      <c r="D78" t="str" xml:space="preserve">
        <v xml:space="preserve">Không được để trống.
Là kích thước khung xe.
Giá trị hợp lệ theo chuẩn hệ thống (S/M/L/XL hoặc số đo khung).
Condition
Không được nhập thủ công bởi Seller.
Giá trị Condition được xác định dựa trên Inspection Result từ bảng INSPECTION_REPORT.
Condition chỉ được cập nhật khi có Inspection Report hợp lệ.
Condition phản ánh tình trạng thực tế của xe sau kiểm định.</v>
      </c>
      <c r="E78" t="str">
        <v>System</v>
      </c>
      <c r="F78" t="str">
        <v>Create/Update record</v>
      </c>
      <c r="G78" t="str">
        <v>Entity=BIKE</v>
      </c>
      <c r="H78" t="str">
        <v>Validate and reject invalid input</v>
      </c>
      <c r="I78" t="str">
        <v>MUST</v>
      </c>
      <c r="J78" t="str">
        <v>Business Rules.docx</v>
      </c>
    </row>
    <row r="79" xml:space="preserve">
      <c r="A79" t="str">
        <v>DR-BIKE-06</v>
      </c>
      <c r="B79" t="str">
        <v>Data Validation</v>
      </c>
      <c r="C79" t="str">
        <v>BIKE.Bike Status</v>
      </c>
      <c r="D79" t="str" xml:space="preserve">
        <v xml:space="preserve">Không được để trống.
Chỉ nhận các giá trị:
AVAILABLE – Có thể giao dịch
RESERVED – Đang có người đặt cọc
SOLD – Đã bán
INACTIVE – Không hiển thị / không giao dịch
Khi tạo mới Bike, trạng thái mặc định là AVAILABLE.</v>
      </c>
      <c r="E79" t="str">
        <v>System</v>
      </c>
      <c r="F79" t="str">
        <v>Create/Update record</v>
      </c>
      <c r="G79" t="str">
        <v>Entity=BIKE</v>
      </c>
      <c r="H79" t="str">
        <v>Validate and reject invalid input</v>
      </c>
      <c r="I79" t="str">
        <v>MUST</v>
      </c>
      <c r="J79" t="str">
        <v>Business Rules.docx</v>
      </c>
    </row>
    <row r="80" xml:space="preserve">
      <c r="A80" t="str">
        <v>DR-BRAND_CATEGORY-01</v>
      </c>
      <c r="B80" t="str">
        <v>Data Validation</v>
      </c>
      <c r="C80" t="str">
        <v>BRAND_CATEGORY.Brand Category ID</v>
      </c>
      <c r="D80" t="str" xml:space="preserve">
        <v xml:space="preserve">Không được để trống.
Có định dạng: C- + 6 chữ số (chữ cái C viết hoa theo tên bảng Brand_Category).
Là khóa chính và không trùng lặp.</v>
      </c>
      <c r="E80" t="str">
        <v>System</v>
      </c>
      <c r="F80" t="str">
        <v>Create/Update record</v>
      </c>
      <c r="G80" t="str">
        <v>Entity=BRAND_CATEGORY</v>
      </c>
      <c r="H80" t="str">
        <v>Validate and reject invalid input</v>
      </c>
      <c r="I80" t="str">
        <v>MUST</v>
      </c>
      <c r="J80" t="str">
        <v>Business Rules.docx</v>
      </c>
    </row>
    <row r="81" xml:space="preserve">
      <c r="A81" t="str">
        <v>DR-BRAND_CATEGORY-02</v>
      </c>
      <c r="B81" t="str">
        <v>Data Validation</v>
      </c>
      <c r="C81" t="str">
        <v>BRAND_CATEGORY.Brand Name</v>
      </c>
      <c r="D81" t="str" xml:space="preserve">
        <v xml:space="preserve">Không được để trống.
Độ dài từ 2 đến 30 ký tự.
Không chấp nhận ký tự đặc biệt.
Chỉ cho phép chữ cái, số và khoảng trắng.
Không được trùng lặp (tránh 2 brand cùng tên).</v>
      </c>
      <c r="E81" t="str">
        <v>System</v>
      </c>
      <c r="F81" t="str">
        <v>Create/Update record</v>
      </c>
      <c r="G81" t="str">
        <v>Entity=BRAND_CATEGORY</v>
      </c>
      <c r="H81" t="str">
        <v>Validate and reject invalid input</v>
      </c>
      <c r="I81" t="str">
        <v>MUST</v>
      </c>
      <c r="J81" t="str">
        <v>Business Rules.docx</v>
      </c>
    </row>
    <row r="82" xml:space="preserve">
      <c r="A82" t="str">
        <v>DR-BRAND_CATEGORY-03</v>
      </c>
      <c r="B82" t="str">
        <v>Data Validation</v>
      </c>
      <c r="C82" t="str">
        <v>BRAND_CATEGORY.Brand Description</v>
      </c>
      <c r="D82" t="str" xml:space="preserve">
        <v xml:space="preserve">Có thể để trống.
Nếu có:
Độ dài tối đa 200 ký tự.
Không chấp nhận nội dung chỉ chứa khoảng trắng.</v>
      </c>
      <c r="E82" t="str">
        <v>System</v>
      </c>
      <c r="F82" t="str">
        <v>Create/Update record</v>
      </c>
      <c r="G82" t="str">
        <v>Entity=BRAND_CATEGORY</v>
      </c>
      <c r="H82" t="str">
        <v>Validate and reject invalid input</v>
      </c>
      <c r="I82" t="str">
        <v>MUST</v>
      </c>
      <c r="J82" t="str">
        <v>Business Rules.docx</v>
      </c>
    </row>
    <row r="83" xml:space="preserve">
      <c r="A83" t="str">
        <v>DR-BRAND_CATEGORY-04</v>
      </c>
      <c r="B83" t="str">
        <v>Data Validation</v>
      </c>
      <c r="C83" t="str">
        <v>BRAND_CATEGORY.Brand Category Status</v>
      </c>
      <c r="D83" t="str" xml:space="preserve">
        <v xml:space="preserve">Không được để trống.
Chỉ nhận các giá trị:
ACTIVE – Được phép sử dụng để tạo Bike
INACTIVE – Không được chọn khi tạo Bike (chỉ dùng cho dữ liệu cũ)
Khi tạo mới Brand Category, trạng thái mặc định là ACTIVE.</v>
      </c>
      <c r="E83" t="str">
        <v>System</v>
      </c>
      <c r="F83" t="str">
        <v>Create/Update record</v>
      </c>
      <c r="G83" t="str">
        <v>Entity=BRAND_CATEGORY</v>
      </c>
      <c r="H83" t="str">
        <v>Validate and reject invalid input</v>
      </c>
      <c r="I83" t="str">
        <v>MUST</v>
      </c>
      <c r="J83" t="str">
        <v>Business Rules.docx</v>
      </c>
    </row>
    <row r="84" xml:space="preserve">
      <c r="A84" t="str">
        <v>DR-PAYMENT-01</v>
      </c>
      <c r="B84" t="str">
        <v>Data Validation</v>
      </c>
      <c r="C84" t="str">
        <v>PAYMENT.Payment ID</v>
      </c>
      <c r="D84" t="str" xml:space="preserve">
        <v xml:space="preserve">Không được để trống.
Có định dạng: T- + 6 chữ số (chữ cái T viết hoa theo tên bảng Payment).
Là khóa chính và không trùng lặp.</v>
      </c>
      <c r="E84" t="str">
        <v>System</v>
      </c>
      <c r="F84" t="str">
        <v>Create/Update record</v>
      </c>
      <c r="G84" t="str">
        <v>Entity=PAYMENT</v>
      </c>
      <c r="H84" t="str">
        <v>Validate and reject invalid input</v>
      </c>
      <c r="I84" t="str">
        <v>MUST</v>
      </c>
      <c r="J84" t="str">
        <v>Business Rules.docx</v>
      </c>
    </row>
    <row r="85" xml:space="preserve">
      <c r="A85" t="str">
        <v>DR-PAYMENT-02</v>
      </c>
      <c r="B85" t="str">
        <v>Data Validation</v>
      </c>
      <c r="C85" t="str">
        <v>PAYMENT.Order ID</v>
      </c>
      <c r="D85" t="str" xml:space="preserve">
        <v xml:space="preserve">Không được để trống.
Tham chiếu đến Order hợp lệ trong hệ thống.
Mỗi Payment chỉ gắn với một Order.</v>
      </c>
      <c r="E85" t="str">
        <v>System</v>
      </c>
      <c r="F85" t="str">
        <v>Create/Update record</v>
      </c>
      <c r="G85" t="str">
        <v>Entity=PAYMENT</v>
      </c>
      <c r="H85" t="str">
        <v>Validate and reject invalid input</v>
      </c>
      <c r="I85" t="str">
        <v>MUST</v>
      </c>
      <c r="J85" t="str">
        <v>Business Rules.docx</v>
      </c>
    </row>
    <row r="86" xml:space="preserve">
      <c r="A86" t="str">
        <v>DR-PAYMENT-03</v>
      </c>
      <c r="B86" t="str">
        <v>Data Validation</v>
      </c>
      <c r="C86" t="str">
        <v>PAYMENT.Payment Method</v>
      </c>
      <c r="D86" t="str" xml:space="preserve">
        <v xml:space="preserve">Không được để trống.
Không hỗ trợ tiền mặt.
Chỉ nhận các phương thức thanh toán hiện có trong app:
CARD - Thẻ
BANK_TRANSFER - Chuyển khoản</v>
      </c>
      <c r="E86" t="str">
        <v>System</v>
      </c>
      <c r="F86" t="str">
        <v>Create/Update record</v>
      </c>
      <c r="G86" t="str">
        <v>Entity=PAYMENT</v>
      </c>
      <c r="H86" t="str">
        <v>Validate and reject invalid input</v>
      </c>
      <c r="I86" t="str">
        <v>MUST</v>
      </c>
      <c r="J86" t="str">
        <v>Current app flow</v>
      </c>
    </row>
    <row r="87" xml:space="preserve">
      <c r="A87" t="str">
        <v>DR-PAYMENT-04</v>
      </c>
      <c r="B87" t="str">
        <v>Data Validation</v>
      </c>
      <c r="C87" t="str">
        <v>PAYMENT.Payment Amount</v>
      </c>
      <c r="D87" t="str" xml:space="preserve">
        <v xml:space="preserve">Không được để trống.
Giá trị phải lớn hơn 0.
Đơn vị tiền tệ: VND.
Số tiền thanh toán phải phù hợp với giá trị Order (đặt cọc hoặc thanh toán toàn bộ).</v>
      </c>
      <c r="E87" t="str">
        <v>System</v>
      </c>
      <c r="F87" t="str">
        <v>Create/Update record</v>
      </c>
      <c r="G87" t="str">
        <v>Entity=PAYMENT</v>
      </c>
      <c r="H87" t="str">
        <v>Validate and reject invalid input</v>
      </c>
      <c r="I87" t="str">
        <v>MUST</v>
      </c>
      <c r="J87" t="str">
        <v>Business Rules.docx</v>
      </c>
    </row>
    <row r="88" xml:space="preserve">
      <c r="A88" t="str">
        <v>DR-PAYMENT-05</v>
      </c>
      <c r="B88" t="str">
        <v>Data Validation</v>
      </c>
      <c r="C88" t="str">
        <v>PAYMENT.Payment Type</v>
      </c>
      <c r="D88" t="str" xml:space="preserve">
        <v xml:space="preserve">Không được để trống.
Chỉ nhận các giá trị:
DEPOSIT - Thanh toán tiền đặt cọc
REMAINING - Thanh toán phần còn lại
FULL - Thanh toán toàn bộ</v>
      </c>
      <c r="E88" t="str">
        <v>System</v>
      </c>
      <c r="F88" t="str">
        <v>Create/Update record</v>
      </c>
      <c r="G88" t="str">
        <v>Entity=PAYMENT</v>
      </c>
      <c r="H88" t="str">
        <v>Validate and reject invalid input</v>
      </c>
      <c r="I88" t="str">
        <v>MUST</v>
      </c>
      <c r="J88" t="str">
        <v>Current app flow</v>
      </c>
    </row>
    <row r="89" xml:space="preserve">
      <c r="A89" t="str">
        <v>DR-PAYMENT-06</v>
      </c>
      <c r="B89" t="str">
        <v>Data Validation</v>
      </c>
      <c r="C89" t="str">
        <v>PAYMENT.Payment Date</v>
      </c>
      <c r="D89" t="str" xml:space="preserve">
        <v xml:space="preserve">Không được để trống.
Là thời điểm Buyer thực hiện thanh toán.
Được hệ thống tự động ghi nhận theo thời gian máy chủ.
Không cho phép chỉnh sửa sau khi đã ghi nhận.</v>
      </c>
      <c r="E89" t="str">
        <v>System</v>
      </c>
      <c r="F89" t="str">
        <v>Create/Update record</v>
      </c>
      <c r="G89" t="str">
        <v>Entity=PAYMENT</v>
      </c>
      <c r="H89" t="str">
        <v>Validate and reject invalid input</v>
      </c>
      <c r="I89" t="str">
        <v>MUST</v>
      </c>
      <c r="J89" t="str">
        <v>Business Rules.docx</v>
      </c>
    </row>
    <row r="90" xml:space="preserve">
      <c r="A90" t="str">
        <v>DR-PAYMENT-07</v>
      </c>
      <c r="B90" t="str">
        <v>Data Validation</v>
      </c>
      <c r="C90" t="str">
        <v>PAYMENT.Payment Status</v>
      </c>
      <c r="D90" t="str" xml:space="preserve">
        <v xml:space="preserve">Không được để trống.
Chỉ nhận các giá trị:
PENDING – Đang chờ xử lý
SUCCESS – Thanh toán thành công
FAILED – Thanh toán thất bại
REFUNDED – Đã hoàn tiền
Khi tạo mới Payment, trạng thái mặc định là PENDING.</v>
      </c>
      <c r="E90" t="str">
        <v>System</v>
      </c>
      <c r="F90" t="str">
        <v>Create/Update record</v>
      </c>
      <c r="G90" t="str">
        <v>Entity=PAYMENT</v>
      </c>
      <c r="H90" t="str">
        <v>Validate and reject invalid input</v>
      </c>
      <c r="I90" t="str">
        <v>MUST</v>
      </c>
      <c r="J90" t="str">
        <v>Business Rules.docx</v>
      </c>
    </row>
    <row r="91">
      <c r="A91" t="str">
        <v>BR-REV-01</v>
      </c>
      <c r="B91" t="str">
        <v>Review</v>
      </c>
      <c r="C91" t="str">
        <v>Review Eligibility</v>
      </c>
      <c r="D91" t="str">
        <v>Buyer chỉ được gửi đánh giá sau khi giao dịch đã hoàn tất và hệ thống có đủ thông tin order, listing, seller.</v>
      </c>
      <c r="E91" t="str">
        <v>Buyer / System</v>
      </c>
      <c r="F91" t="str">
        <v>Submit review</v>
      </c>
      <c r="G91" t="str">
        <v>Order is completed and linked entities exist</v>
      </c>
      <c r="H91" t="str">
        <v>Allow review submission only for eligible completed orders</v>
      </c>
      <c r="I91" t="str">
        <v>MUST</v>
      </c>
      <c r="J91" t="str">
        <v>Current app flow</v>
      </c>
    </row>
    <row r="92">
      <c r="A92" t="str">
        <v>BR-REV-02</v>
      </c>
      <c r="B92" t="str">
        <v>Review</v>
      </c>
      <c r="C92" t="str">
        <v>One Review per Order</v>
      </c>
      <c r="D92" t="str">
        <v>Mỗi Order chỉ được phép có tối đa 1 Review từ Buyer tương ứng.</v>
      </c>
      <c r="E92" t="str">
        <v>System</v>
      </c>
      <c r="F92" t="str">
        <v>Create review</v>
      </c>
      <c r="G92" t="str">
        <v>Review already exists for order</v>
      </c>
      <c r="H92" t="str">
        <v>Reject duplicate review submission</v>
      </c>
      <c r="I92" t="str">
        <v>MUST</v>
      </c>
      <c r="J92" t="str">
        <v>Current app flow</v>
      </c>
    </row>
    <row r="93" xml:space="preserve">
      <c r="A93" t="str">
        <v>BR-REV-03</v>
      </c>
      <c r="B93" t="str">
        <v>Review</v>
      </c>
      <c r="C93" t="str">
        <v>Rating and Comment Validation</v>
      </c>
      <c r="D93" t="str" xml:space="preserve">
        <v xml:space="preserve">Rating là số nguyên từ 1 đến 5.
Comment là tùy chọn; nếu có thì được trim trước khi lưu.
Không chấp nhận giá trị rating ngoài khoảng 1-5.</v>
      </c>
      <c r="E93" t="str">
        <v>Buyer / System</v>
      </c>
      <c r="F93" t="str">
        <v>Submit review</v>
      </c>
      <c r="G93" t="str">
        <v>Buyer enters rating/comment</v>
      </c>
      <c r="H93" t="str">
        <v>Validate rating range and sanitize comment input</v>
      </c>
      <c r="I93" t="str">
        <v>MUST</v>
      </c>
      <c r="J93" t="str">
        <v>Current app flow</v>
      </c>
    </row>
    <row r="94" xml:space="preserve">
      <c r="A94" t="str">
        <v>BR-REV-04</v>
      </c>
      <c r="B94" t="str">
        <v>Review</v>
      </c>
      <c r="C94" t="str">
        <v>Seller Reputation Aggregation</v>
      </c>
      <c r="D94" t="str" xml:space="preserve">
        <v xml:space="preserve">Điểm uy tín của Seller được tổng hợp từ các review hợp lệ của các giao dịch thành công. Seller Dashboard hiển thị tổng số review, điểm trung bình và tỷ lệ phản hồi tích cực.</v>
      </c>
      <c r="E94" t="str">
        <v>System / Seller</v>
      </c>
      <c r="F94" t="str">
        <v>Load seller dashboard</v>
      </c>
      <c r="G94" t="str">
        <v>Seller ratings data requested</v>
      </c>
      <c r="H94" t="str">
        <v>Aggregate review metrics for seller reputation card</v>
      </c>
      <c r="I94" t="str">
        <v>MUST</v>
      </c>
      <c r="J94" t="str">
        <v>Current app flow</v>
      </c>
    </row>
    <row r="95" xml:space="preserve">
      <c r="A95" t="str">
        <v>BR-ADMIN-01</v>
      </c>
      <c r="B95" t="str">
        <v>Administration</v>
      </c>
      <c r="C95" t="str">
        <v>Category Management</v>
      </c>
      <c r="D95" t="str" xml:space="preserve">
        <v xml:space="preserve">Admin có thể tạo, cập nhật và quản lý danh mục / brand category dùng trong hệ thống. Category không còn hiệu lực sẽ không được dùng cho dữ liệu mới.</v>
      </c>
      <c r="E95" t="str">
        <v>Admin</v>
      </c>
      <c r="F95" t="str">
        <v>Manage categories</v>
      </c>
      <c r="G95" t="str">
        <v>Admin opens category management</v>
      </c>
      <c r="H95" t="str">
        <v>Allow CRUD operations for categories under admin permissions</v>
      </c>
      <c r="I95" t="str">
        <v>MUST</v>
      </c>
      <c r="J95" t="str">
        <v>Current app flow</v>
      </c>
    </row>
    <row r="96" xml:space="preserve">
      <c r="A96" t="str">
        <v>BR-ADMIN-02</v>
      </c>
      <c r="B96" t="str">
        <v>Administration</v>
      </c>
      <c r="C96" t="str">
        <v>Transaction Fee Configuration and History</v>
      </c>
      <c r="D96" t="str" xml:space="preserve">
        <v xml:space="preserve">Admin có thể cấu hình mức phí giao dịch và xem lịch sử giao dịch trong Admin Dashboard. Mọi thay đổi cấu hình phí phải được lưu lại để đối soát và theo dõi.</v>
      </c>
      <c r="E96" t="str">
        <v>Admin / System</v>
      </c>
      <c r="F96" t="str">
        <v>Update fee config / view transactions</v>
      </c>
      <c r="G96" t="str">
        <v>Admin accesses transactions tab</v>
      </c>
      <c r="H96" t="str">
        <v>Persist fee configuration and expose transaction history for admin review</v>
      </c>
      <c r="I96" t="str">
        <v>MUST</v>
      </c>
      <c r="J96" t="str">
        <v>Current app flow</v>
      </c>
    </row>
    <row r="97" xml:space="preserve">
      <c r="A97" t="str">
        <v>BR-SELL-01</v>
      </c>
      <c r="B97" t="str">
        <v>Seller</v>
      </c>
      <c r="C97" t="str">
        <v>Orders and Deposits Visibility</v>
      </c>
      <c r="D97" t="str" xml:space="preserve">
        <v xml:space="preserve">Seller Dashboard hiển thị danh sách Orders / Deposits liên quan đến Seller hiện tại. Dữ liệu được lấy từ API; nếu API chưa sẵn sàng có thể dùng dữ liệu fallback / mock để hiển thị.</v>
      </c>
      <c r="E97" t="str">
        <v>Seller / System</v>
      </c>
      <c r="F97" t="str">
        <v>Open Seller Dashboard</v>
      </c>
      <c r="G97" t="str">
        <v>Seller dashboard data requested</v>
      </c>
      <c r="H97" t="str">
        <v>Show only seller-owned orders, deposits, and status summaries</v>
      </c>
      <c r="I97" t="str">
        <v>MUST</v>
      </c>
      <c r="J97" t="str">
        <v>Current app flow</v>
      </c>
    </row>
  </sheetData>
  <mergeCells count="1">
    <mergeCell ref="A26:J26"/>
  </mergeCells>
  <pageMargins left="0.7" right="0.7" top="0.75" bottom="0.75" header="0" footer="0"/>
  <ignoredErrors>
    <ignoredError numberStoredAsText="1" sqref="A1:J1011"/>
  </ignoredErrors>
</worksheet>
</file>

<file path=xl/worksheets/sheet2.xml><?xml version="1.0" encoding="utf-8"?>
<worksheet xmlns="http://schemas.openxmlformats.org/spreadsheetml/2006/main" xmlns:r="http://schemas.openxmlformats.org/officeDocument/2006/relationships">
  <dimension ref="A1:F1003"/>
  <sheetViews>
    <sheetView workbookViewId="0" rightToLeft="0"/>
  </sheetViews>
  <sheetData>
    <row r="1">
      <c r="A1" t="str">
        <v>COMMON AUTHENTICATION RULES</v>
      </c>
    </row>
    <row r="2">
      <c r="A2" t="str">
        <v>Rule ID</v>
      </c>
      <c r="B2" t="str">
        <v>Module</v>
      </c>
      <c r="C2" t="str">
        <v>Rule Name</v>
      </c>
      <c r="D2" t="str">
        <v>Description (VI)</v>
      </c>
      <c r="E2" t="str">
        <v>Applied Scope (Function / API)</v>
      </c>
      <c r="F2" t="str">
        <v>Source</v>
      </c>
    </row>
    <row r="3">
      <c r="A3" t="str">
        <v>CR-AUTH-01</v>
      </c>
      <c r="B3" t="str">
        <v>Authentication</v>
      </c>
      <c r="C3" t="str">
        <v>Username &amp; Password Validation</v>
      </c>
      <c r="D3" t="str">
        <v>Hệ thống áp dụng các quy tắc kiểm tra định dạng username và password nhằm đảm bảo tính hợp lệ và an toàn khi người dùng đăng ký và đăng nhập.</v>
      </c>
      <c r="E3" t="str">
        <v>Login Page, Signup Page, Login API, Signup API</v>
      </c>
      <c r="F3" t="str">
        <v>Business Rules</v>
      </c>
    </row>
    <row r="4">
      <c r="A4" t="str">
        <v>CR-AUTH-02</v>
      </c>
      <c r="B4" t="str">
        <v>Authentication</v>
      </c>
      <c r="C4" t="str">
        <v>Invalid Login Handling</v>
      </c>
      <c r="D4" t="str">
        <v>Trong scope hiện tại, hệ thống xử lý đăng nhập sai bằng cách từ chối xác thực và hiển thị lỗi phù hợp; chưa áp dụng khóa tạm thời hoặc OTP.</v>
      </c>
      <c r="E4" t="str">
        <v>Login Page, Login API</v>
      </c>
      <c r="F4" t="str">
        <v>Business Rules</v>
      </c>
    </row>
    <row r="5">
      <c r="A5" t="str">
        <v>CR-AUTH-03</v>
      </c>
      <c r="B5" t="str">
        <v>Authentication</v>
      </c>
      <c r="C5" t="str">
        <v>Token / Session Validation</v>
      </c>
      <c r="D5" t="str">
        <v>Khi token hết hạn hoặc không còn hợp lệ, người dùng bị đăng xuất và phải đăng nhập lại để tiếp tục truy cập các trang được bảo vệ.</v>
      </c>
      <c r="E5" t="str">
        <v>Login Page, All Protected Pages, Login API</v>
      </c>
      <c r="F5" t="str">
        <v>Business Rules</v>
      </c>
    </row>
    <row r="7">
      <c r="A7" t="str">
        <v>COMMON LISTING RULES</v>
      </c>
    </row>
    <row r="8">
      <c r="A8" t="str">
        <v>Rule ID</v>
      </c>
      <c r="B8" t="str">
        <v>Module</v>
      </c>
      <c r="C8" t="str">
        <v>Rule Name</v>
      </c>
      <c r="D8" t="str">
        <v>Description (VI)</v>
      </c>
      <c r="E8" t="str">
        <v>Applied Scope (Function / API)</v>
      </c>
      <c r="F8" t="str">
        <v>Source</v>
      </c>
    </row>
    <row r="9">
      <c r="A9" t="str">
        <v>CR-LIST-01</v>
      </c>
      <c r="B9" t="str">
        <v>Listing</v>
      </c>
      <c r="C9" t="str">
        <v>Approved Listing Visibility</v>
      </c>
      <c r="D9" t="str">
        <v>Chỉ các tin đăng đã được kiểm định và phê duyệt (APPROVE) mới được hiển thị cho Buyer trên hệ thống.</v>
      </c>
      <c r="E9" t="str">
        <v>Home Page, Product Detail Page, Product Listing API</v>
      </c>
      <c r="F9" t="str">
        <v>Business Rules</v>
      </c>
    </row>
    <row r="10">
      <c r="A10" t="str">
        <v>CR-LIST-02</v>
      </c>
      <c r="B10" t="str">
        <v>Listing</v>
      </c>
      <c r="C10" t="str">
        <v>Published Listing Visibility by State</v>
      </c>
      <c r="D10" t="str">
        <v>Tin chỉ hiển thị khi đã APPROVE và ở trạng thái PUBLISHED; không áp dụng expiration 30 ngày trong scope hiện tại.</v>
      </c>
      <c r="E10" t="str">
        <v>Home Page, Product Detail Page, Product Listing API</v>
      </c>
      <c r="F10" t="str">
        <v>Business Rules</v>
      </c>
    </row>
    <row r="11">
      <c r="A11" t="str">
        <v>CR-LIST-03</v>
      </c>
      <c r="B11" t="str">
        <v>Listing</v>
      </c>
      <c r="C11" t="str">
        <v>Seller Suspension Restriction</v>
      </c>
      <c r="D11" t="str">
        <v>Khi tài khoản Seller bị khóa hoặc suspended, các tin đăng liên quan sẽ bị hạn chế hiển thị và không được phép thực hiện giao dịch.</v>
      </c>
      <c r="E11" t="str">
        <v>Seller Dashboard, Product Listing API</v>
      </c>
      <c r="F11" t="str">
        <v>Business Rules</v>
      </c>
    </row>
    <row r="13">
      <c r="A13" t="str">
        <v>COMMON TRANSACTION &amp; PAYMENT RULES</v>
      </c>
    </row>
    <row r="14">
      <c r="A14" t="str">
        <v>Rule ID</v>
      </c>
      <c r="B14" t="str">
        <v>Module</v>
      </c>
      <c r="C14" t="str">
        <v>Rule Name</v>
      </c>
      <c r="D14" t="str">
        <v>Description (VI)</v>
      </c>
      <c r="E14" t="str">
        <v>Applied Scope (Function / API)</v>
      </c>
      <c r="F14" t="str">
        <v>Source</v>
      </c>
    </row>
    <row r="15">
      <c r="A15" t="str">
        <v>CR-PAY-01</v>
      </c>
      <c r="B15" t="str">
        <v>Payment</v>
      </c>
      <c r="C15" t="str">
        <v>Cashless Payment Only</v>
      </c>
      <c r="D15" t="str">
        <v>Hệ thống chỉ hỗ trợ thanh toán thông qua cổng thanh toán trung gian và không chấp nhận thanh toán bằng tiền mặt.</v>
      </c>
      <c r="E15" t="str">
        <v>Payment Page, Order &amp; Payment Processing</v>
      </c>
      <c r="F15" t="str">
        <v>Business Rules</v>
      </c>
    </row>
    <row r="16">
      <c r="A16" t="str">
        <v>CR-PAY-02</v>
      </c>
      <c r="B16" t="str">
        <v>Payment</v>
      </c>
      <c r="C16" t="str">
        <v>Escrow Mechanism</v>
      </c>
      <c r="D16" t="str">
        <v>Số tiền đặt cọc và thanh toán được giữ trong hệ thống (escrow) và chỉ được chuyển cho Seller khi giao dịch hoàn tất hợp lệ.</v>
      </c>
      <c r="E16" t="str">
        <v>Transaction Page, Finalize Purchase Page, Transaction/Escrow Logic</v>
      </c>
      <c r="F16" t="str">
        <v>Business Rules</v>
      </c>
    </row>
    <row r="17">
      <c r="A17" t="str">
        <v>CR-PAY-03</v>
      </c>
      <c r="B17" t="str">
        <v>Payment</v>
      </c>
      <c r="C17" t="str">
        <v>FIFO Deposit Rule</v>
      </c>
      <c r="D17" t="str">
        <v>Buyer đặt cọc thành công đầu tiên sẽ được giữ quyền mua đối với tin đăng; các Buyer khác không thể tiếp tục đặt cọc cho cùng tin đăng đó.</v>
      </c>
      <c r="E17" t="str">
        <v>Transaction Page, Product Detail Page</v>
      </c>
      <c r="F17" t="str">
        <v>Business Rules</v>
      </c>
    </row>
    <row r="18">
      <c r="A18" t="str">
        <v>CR-PAY-04</v>
      </c>
      <c r="B18" t="str">
        <v>Payment</v>
      </c>
      <c r="C18" t="str">
        <v>Reservation Timeout Handling</v>
      </c>
      <c r="D18" t="str">
        <v>Nếu giao dịch giữ chỗ không được xử lý xong trong thời gian countdown hiện tại (24 giờ) hoặc bị hủy hợp lệ, hệ thống sẽ mở lại listing theo chính sách xử lý giao dịch.</v>
      </c>
      <c r="E18" t="str">
        <v>Transaction Page, Transaction/Escrow Logic</v>
      </c>
      <c r="F18" t="str">
        <v>Business Rules</v>
      </c>
    </row>
    <row r="20">
      <c r="A20" t="str">
        <v>COMMON REVIEW RULES</v>
      </c>
      <c r="B20" t="str">
        <v/>
      </c>
      <c r="C20" t="str">
        <v/>
      </c>
      <c r="D20" t="str">
        <v/>
      </c>
      <c r="E20" t="str">
        <v/>
      </c>
      <c r="F20" t="str">
        <v/>
      </c>
    </row>
    <row r="21">
      <c r="A21" t="str">
        <v>Rule ID</v>
      </c>
      <c r="B21" t="str">
        <v>Module</v>
      </c>
      <c r="C21" t="str">
        <v>Rule Name</v>
      </c>
      <c r="D21" t="str">
        <v>Description (VI)</v>
      </c>
      <c r="E21" t="str">
        <v>Applied Scope (Function / API)</v>
      </c>
      <c r="F21" t="str">
        <v>Source</v>
      </c>
    </row>
    <row r="22">
      <c r="A22" t="str">
        <v>CR-REV-01</v>
      </c>
      <c r="B22" t="str">
        <v>Review</v>
      </c>
      <c r="C22" t="str">
        <v>Completed Order Review Only</v>
      </c>
      <c r="D22" t="str">
        <v>Chỉ các đơn hàng hoàn tất mới đủ điều kiện để Buyer gửi đánh giá.</v>
      </c>
      <c r="E22" t="str">
        <v>Purchase Success Page, Review API, Seller Dashboard</v>
      </c>
      <c r="F22" t="str">
        <v>Business Rules</v>
      </c>
    </row>
    <row r="23">
      <c r="A23" t="str">
        <v>CR-REV-02</v>
      </c>
      <c r="B23" t="str">
        <v>Review</v>
      </c>
      <c r="C23" t="str">
        <v>Single Review per Order</v>
      </c>
      <c r="D23" t="str">
        <v>Mỗi Order chỉ được ghi nhận tối đa một đánh giá từ Buyer.</v>
      </c>
      <c r="E23" t="str">
        <v>Review API, Review Validation Logic</v>
      </c>
      <c r="F23" t="str">
        <v>Business Rules</v>
      </c>
    </row>
    <row r="24">
      <c r="A24" t="str">
        <v>CR-REV-03</v>
      </c>
      <c r="B24" t="str">
        <v>Review</v>
      </c>
      <c r="C24" t="str">
        <v>Seller Reputation Aggregation</v>
      </c>
      <c r="D24" t="str">
        <v>Điểm uy tín Seller được tổng hợp từ các review hợp lệ và hiển thị trên Seller Dashboard.</v>
      </c>
      <c r="E24" t="str">
        <v>Seller Dashboard, Seller Ratings API</v>
      </c>
      <c r="F24" t="str">
        <v>Business Rules</v>
      </c>
    </row>
    <row r="25">
      <c r="A25" t="str">
        <v>COMMON ADMIN RULES</v>
      </c>
      <c r="B25" t="str">
        <v/>
      </c>
      <c r="C25" t="str">
        <v/>
      </c>
      <c r="D25" t="str">
        <v/>
      </c>
      <c r="E25" t="str">
        <v/>
      </c>
      <c r="F25" t="str">
        <v/>
      </c>
    </row>
    <row r="26">
      <c r="A26" t="str">
        <v>Rule ID</v>
      </c>
      <c r="B26" t="str">
        <v>Module</v>
      </c>
      <c r="C26" t="str">
        <v>Rule Name</v>
      </c>
      <c r="D26" t="str">
        <v>Description (VI)</v>
      </c>
      <c r="E26" t="str">
        <v>Applied Scope (Function / API)</v>
      </c>
      <c r="F26" t="str">
        <v>Source</v>
      </c>
    </row>
    <row r="27">
      <c r="A27" t="str">
        <v>CR-ADMIN-01</v>
      </c>
      <c r="B27" t="str">
        <v>Administration</v>
      </c>
      <c r="C27" t="str">
        <v>Category Management</v>
      </c>
      <c r="D27" t="str">
        <v>Admin quản lý category / brand category dùng cho dữ liệu hệ thống; category ở trạng thái inactive không được dùng cho dữ liệu mới.</v>
      </c>
      <c r="E27" t="str">
        <v>Admin Dashboard, Category API</v>
      </c>
      <c r="F27" t="str">
        <v>Business Rules</v>
      </c>
    </row>
    <row r="28">
      <c r="A28" t="str">
        <v>CR-ADMIN-02</v>
      </c>
      <c r="B28" t="str">
        <v>Administration</v>
      </c>
      <c r="C28" t="str">
        <v>Transaction Fee Configuration</v>
      </c>
      <c r="D28" t="str">
        <v>Admin có thể cấu hình phí giao dịch và theo dõi lịch sử giao dịch trong Admin Dashboard.</v>
      </c>
      <c r="E28" t="str">
        <v>Admin Dashboard, Transaction API</v>
      </c>
      <c r="F28" t="str">
        <v>Business Rules</v>
      </c>
    </row>
  </sheetData>
  <ignoredErrors>
    <ignoredError numberStoredAsText="1" sqref="A1:F1003"/>
  </ignoredErrors>
</worksheet>
</file>

<file path=xl/worksheets/sheet3.xml><?xml version="1.0" encoding="utf-8"?>
<worksheet xmlns="http://schemas.openxmlformats.org/spreadsheetml/2006/main" xmlns:r="http://schemas.openxmlformats.org/officeDocument/2006/relationships">
  <dimension ref="A1:F980"/>
  <sheetViews>
    <sheetView workbookViewId="0" rightToLeft="0"/>
  </sheetViews>
  <sheetData>
    <row r="1">
      <c r="A1" t="str">
        <v>Function/Screen</v>
      </c>
      <c r="B1" t="str">
        <v>Level</v>
      </c>
      <c r="C1" t="str">
        <v>Person in charge</v>
      </c>
      <c r="D1" t="str">
        <v>Sprint</v>
      </c>
      <c r="E1" t="str">
        <v>Business Rules</v>
      </c>
      <c r="F1" t="str">
        <v>Description</v>
      </c>
    </row>
    <row r="2">
      <c r="A2" t="str">
        <v>Main Layout (Front-end)</v>
      </c>
      <c r="B2" t="str">
        <v>Simple</v>
      </c>
      <c r="C2" t="str">
        <v>Nguyễn Đặng Duy Quang</v>
      </c>
      <c r="D2" t="str">
        <v>Sprint 1</v>
      </c>
      <c r="E2" t="str">
        <v>N/A</v>
      </c>
    </row>
    <row r="3">
      <c r="A3" t="str">
        <v>Home Page (Front-end)</v>
      </c>
      <c r="B3" t="str">
        <v>Medium</v>
      </c>
      <c r="C3" t="str">
        <v>Nguyen Dang Duy Quang</v>
      </c>
      <c r="D3" t="str">
        <v>Sprint 1</v>
      </c>
      <c r="E3" t="str">
        <v>BR-LIST-02; BR-LIST-03</v>
      </c>
      <c r="F3" t="str">
        <v>Home Page hiển thị các listing hợp lệ cho Buyer. Chỉ các tin đã APPROVE và đang ở trạng thái PUBLISHED mới xuất hiện trên marketplace.</v>
      </c>
    </row>
    <row r="4">
      <c r="A4" t="str">
        <v>Seller Dashboard (Front-end)</v>
      </c>
      <c r="B4" t="str">
        <v>Medium</v>
      </c>
      <c r="C4" t="str">
        <v>Nguyen Dang Duy Quang</v>
      </c>
      <c r="D4" t="str">
        <v>Sprint 1</v>
      </c>
      <c r="E4" t="str">
        <v>BR-LIST-01; BR-INSP-01; BR-REV-04; BR-SELL-01</v>
      </c>
      <c r="F4" t="str">
        <v>Seller Dashboard cho phép Seller theo dõi trạng thái listing, danh sách orders / deposits và điểm uy tín từ các đánh giá hợp lệ.</v>
      </c>
    </row>
    <row r="5">
      <c r="A5" t="str">
        <v>Transaction Page (Front-end)</v>
      </c>
      <c r="B5" t="str">
        <v>Medium</v>
      </c>
      <c r="C5" t="str">
        <v>Nguyen Dang Duy Quang</v>
      </c>
      <c r="D5" t="str">
        <v>Sprint 1</v>
      </c>
      <c r="E5" t="str">
        <v>BR-PAY-01; BR-PAY-02; BR-PAY-03; BR-PAY-04; BR-SHIP-01</v>
      </c>
      <c r="F5" t="str">
        <v>Transaction Page cho phép Buyer theo dõi giao dịch, countdown 24 giờ và tiến trình vận hành sau khi giữ chỗ thành công.</v>
      </c>
    </row>
    <row r="6">
      <c r="A6" t="str">
        <v>Finalize Purchase Page (Front-end)</v>
      </c>
      <c r="B6" t="str">
        <v>Simple</v>
      </c>
      <c r="C6" t="str">
        <v>Nguyen Dang Duy Quang</v>
      </c>
      <c r="D6" t="str">
        <v>Sprint 1</v>
      </c>
      <c r="E6" t="str">
        <v>BR-PAY-01; BR-PAY-02; BR-PAY-07; BR-SHIP-06</v>
      </c>
      <c r="F6" t="str">
        <v>Finalize Purchase Page cho phép Buyer hoàn tất bước cuối của giao dịch và chỉ hoàn tất order khi đơn ở trạng thái SHIPPING hợp lệ.</v>
      </c>
    </row>
    <row r="7">
      <c r="A7" t="str">
        <v>Login Page (Front-end)</v>
      </c>
      <c r="B7" t="str">
        <v>Simple</v>
      </c>
      <c r="C7" t="str">
        <v>Truong Tien Xuan Hoang</v>
      </c>
      <c r="D7" t="str">
        <v>Sprint 1</v>
      </c>
      <c r="E7" t="str">
        <v>BR-AUTH-01; BR-AUTH-02; BR-AUTH-03; BR-AUTH-04; BR-USER-01; BR-USER-02</v>
      </c>
      <c r="F7" t="str">
        <v>Login Page xử lý đăng nhập bằng email và password, hiển thị lỗi khi sai thông tin và tự động xử lý khi token không còn hợp lệ.</v>
      </c>
    </row>
    <row r="8" xml:space="preserve">
      <c r="A8" t="str">
        <v>Profile Page (Front-end)</v>
      </c>
      <c r="B8" t="str">
        <v>Simple</v>
      </c>
      <c r="C8" t="str">
        <v>Trương Tiến Xuân Hoàng</v>
      </c>
      <c r="D8" t="str">
        <v>Sprint 1</v>
      </c>
      <c r="E8" t="str">
        <v>BR-USER-01; BR-USER-02</v>
      </c>
      <c r="F8" t="str" xml:space="preserve">
        <v xml:space="preserve">Profile Page hiển thị thông tin tài khoản và vai trò của người dùng.
Người dùng không được phép tự ý thay đổi vai trò và bị hạn chế thao tác khi tài khoản bị khóa.</v>
      </c>
    </row>
    <row r="9">
      <c r="A9" t="str">
        <v>Checkout Page (Front-end)</v>
      </c>
      <c r="B9" t="str">
        <v>Medium</v>
      </c>
      <c r="C9" t="str">
        <v>Truong Tien Xuan Hoang</v>
      </c>
      <c r="D9" t="str">
        <v>Sprint 1</v>
      </c>
      <c r="E9" t="str">
        <v>BR-PAY-01; BR-PAY-02; BR-PAY-03</v>
      </c>
      <c r="F9" t="str">
        <v>Checkout Page cho phép Buyer chọn kế hoạch thanh toán, phương thức thanh toán và tạo order khi payment validation thành công.</v>
      </c>
    </row>
    <row r="10">
      <c r="A10" t="str">
        <v>Product Detail Page (Front-end)</v>
      </c>
      <c r="B10" t="str">
        <v>Medium</v>
      </c>
      <c r="C10" t="str">
        <v>Truong Tien Xuan Hoang</v>
      </c>
      <c r="D10" t="str">
        <v>Sprint 1</v>
      </c>
      <c r="E10" t="str">
        <v>BR-LIST-02; BR-LIST-03; BR-PAY-03</v>
      </c>
      <c r="F10" t="str">
        <v>Product Detail Page hiển thị chi tiết listing hợp lệ và cho phép Buyer khởi tạo giao dịch nếu listing vẫn còn khả dụng.</v>
      </c>
    </row>
    <row r="11">
      <c r="A11" t="str">
        <v>Login API (Back-end)</v>
      </c>
      <c r="B11" t="str">
        <v>Simple</v>
      </c>
      <c r="C11" t="str">
        <v>Nguyễn Minh Quân</v>
      </c>
      <c r="D11" t="str">
        <v>Sprint 1</v>
      </c>
      <c r="E11" t="str">
        <v>BR-AUTH-01; BR-AUTH-02; BR-AUTH-03; BR-AUTH-04; BR-USER-02</v>
      </c>
      <c r="F11" t="str">
        <v>Login API xử lý xác thực đăng nhập bằng email và password, trả lỗi khi thông tin không hợp lệ và trả về role theo tài khoản hiện có.</v>
      </c>
    </row>
    <row r="12">
      <c r="A12" t="str">
        <v>Signup API (Back-end)</v>
      </c>
      <c r="B12" t="str">
        <v>Simple</v>
      </c>
      <c r="C12" t="str">
        <v>Nguyễn Minh Quân</v>
      </c>
      <c r="D12" t="str">
        <v>Sprint 1</v>
      </c>
      <c r="E12" t="str">
        <v>BR-AUTH-01; BR-AUTH-02; BR-USER-01</v>
      </c>
      <c r="F12" t="str">
        <v>Signup API xử lý đăng ký tài khoản mới và kiểm tra tính hợp lệ của thông tin người dùng theo các quy định hệ thống.</v>
      </c>
    </row>
    <row r="13">
      <c r="A13" t="str">
        <v>Product Listing API (Back-end)</v>
      </c>
      <c r="B13" t="str">
        <v>Medium</v>
      </c>
      <c r="C13" t="str">
        <v>Nguyen Minh Quan</v>
      </c>
      <c r="D13" t="str">
        <v>Sprint 1</v>
      </c>
      <c r="E13" t="str">
        <v>BR-LIST-02; BR-LIST-03; BR-USER-02</v>
      </c>
      <c r="F13" t="str">
        <v>Product Listing API chỉ trả về các listing đủ điều kiện hiển thị cho marketplace theo state và quyền hiển thị hiện tại.</v>
      </c>
    </row>
    <row r="14">
      <c r="A14" t="str">
        <v>Order &amp; Payment Processing</v>
      </c>
      <c r="B14" t="str">
        <v>Medium</v>
      </c>
      <c r="C14" t="str">
        <v>Nguyễn Minh Quân</v>
      </c>
      <c r="D14" t="str">
        <v>Sprint 1</v>
      </c>
      <c r="E14" t="str">
        <v>BR-PAY-01; BR-PAY-02; BR-PAY-03; BR-PAY-04; BR-LIST-02</v>
      </c>
      <c r="F14" t="str">
        <v>Module Order &amp; Payment Processing xử lý toàn bộ logic tạo đơn hàng, đặt cọc, thanh toán và cập nhật trạng thái giao dịch theo business rules</v>
      </c>
    </row>
    <row r="15" xml:space="preserve">
      <c r="A15" t="str">
        <v>Transaction/Escrow Logic</v>
      </c>
      <c r="B15" t="str">
        <v>Medium</v>
      </c>
      <c r="C15" t="str">
        <v>Nguyễn Minh Quân</v>
      </c>
      <c r="D15" t="str">
        <v>Sprint 1</v>
      </c>
      <c r="E15" t="str">
        <v>BR-PAY-02; BR-PAY-03; BR-PAY-04</v>
      </c>
      <c r="F15" t="str" xml:space="preserve">
        <v xml:space="preserve">Transaction/Escrow Logic quản lý việc giữ tiền đặt cọc và giải phóng tiền theo trạng thái giao dịch.
Module này đảm bảo tuân thủ quy tắc FIFO và xử lý timeout thanh toán.</v>
      </c>
    </row>
    <row r="16">
      <c r="A16" t="str">
        <v>Product Detail API</v>
      </c>
      <c r="B16" t="str">
        <v>Simple</v>
      </c>
      <c r="C16" t="str">
        <v>Nguyễn Anh Bảo</v>
      </c>
      <c r="D16" t="str">
        <v>Sprint 1</v>
      </c>
      <c r="E16" t="str">
        <v>BR-LIST-02; BR-LIST-03; BR-PAY-03</v>
      </c>
      <c r="F16" t="str">
        <v>Product Detail API cung cấp dữ liệu chi tiết của một tin đăng xe đạp cho các màn hình hiển thị, đảm bảo chỉ trả về tin đăng hợp lệ theo trạng thái hệ thống.</v>
      </c>
    </row>
    <row r="17">
      <c r="A17" t="str">
        <v>Profile API (Back-end)</v>
      </c>
      <c r="B17" t="str">
        <v>Simple</v>
      </c>
      <c r="C17" t="str">
        <v>Nguyễn Anh Bảo</v>
      </c>
      <c r="D17" t="str">
        <v>Sprint 1</v>
      </c>
      <c r="E17" t="str">
        <v>BR-USER-01; BR-USER-02</v>
      </c>
      <c r="F17" t="str">
        <v>Profile API cung cấp thông tin hồ sơ người dùng và trạng thái tài khoản phục vụ các chức năng hiển thị.</v>
      </c>
    </row>
    <row r="18">
      <c r="A18" t="str">
        <v>Seller Dashboard API (Back-end)</v>
      </c>
      <c r="B18" t="str">
        <v>Medium</v>
      </c>
      <c r="C18" t="str">
        <v>Nguyen Anh Bao</v>
      </c>
      <c r="D18" t="str">
        <v>Sprint 1</v>
      </c>
      <c r="E18" t="str">
        <v>BR-INSP-01; BR-REV-04; BR-SELL-01</v>
      </c>
      <c r="F18" t="str">
        <v>Seller Dashboard API cung cấp dữ liệu listing, orders / deposits và ratings để hiển thị trên Seller Dashboard.</v>
      </c>
    </row>
    <row r="19">
      <c r="A19" t="str">
        <v>Create Listing API (Back-end)</v>
      </c>
      <c r="B19" t="str">
        <v>Medium</v>
      </c>
      <c r="C19" t="str">
        <v>Nguyễn Anh Bảo</v>
      </c>
      <c r="D19" t="str">
        <v>Sprint 1</v>
      </c>
      <c r="E19" t="str">
        <v>BR-LIST-01; BR-INSP-01; BR-LIST-02</v>
      </c>
      <c r="F19" t="str">
        <v>Create Listing API xử lý việc tạo tin đăng mới của Seller và đưa tin đăng vào quy trình kiểm định trước khi được hiển thị trên hệ thống.</v>
      </c>
    </row>
    <row r="20">
      <c r="A20" t="str">
        <v>Register Page (Front-end)</v>
      </c>
      <c r="B20" t="str">
        <v>Simple</v>
      </c>
      <c r="C20" t="str">
        <v>Team Frontend</v>
      </c>
      <c r="D20" t="str">
        <v>Sprint 1</v>
      </c>
      <c r="E20" t="str">
        <v>BR-AUTH-01; BR-AUTH-02; BR-USER-01</v>
      </c>
      <c r="F20" t="str">
        <v>Register Page cho phép người dùng đăng ký với role Buyer hoặc Seller và áp dụng validation username / password theo flow hiện tại.</v>
      </c>
    </row>
    <row r="21">
      <c r="A21" t="str">
        <v>Purchase Success Page (Front-end)</v>
      </c>
      <c r="B21" t="str">
        <v>Medium</v>
      </c>
      <c r="C21" t="str">
        <v>Team Frontend</v>
      </c>
      <c r="D21" t="str">
        <v>Sprint 1</v>
      </c>
      <c r="E21" t="str">
        <v>BR-REV-01; BR-REV-02; BR-REV-03; BR-REV-04</v>
      </c>
      <c r="F21" t="str">
        <v>Purchase Success Page hiển thị tóm tắt giao dịch và cho phép Buyer gửi đánh giá 1-5 sao cho Seller sau khi đơn hoàn tất.</v>
      </c>
    </row>
    <row r="22">
      <c r="A22" t="str">
        <v>Admin Dashboard (Front-end)</v>
      </c>
      <c r="B22" t="str">
        <v>Medium</v>
      </c>
      <c r="C22" t="str">
        <v>Team Frontend</v>
      </c>
      <c r="D22" t="str">
        <v>Sprint 1</v>
      </c>
      <c r="E22" t="str">
        <v>BR-ADMIN-01; BR-ADMIN-02</v>
      </c>
      <c r="F22" t="str">
        <v>Admin Dashboard cho phép quản lý categories, cấu hình phí giao dịch và xem lịch sử giao dịch của hệ thống.</v>
      </c>
    </row>
  </sheetData>
  <ignoredErrors>
    <ignoredError numberStoredAsText="1" sqref="A1:F980"/>
  </ignoredErrors>
</worksheet>
</file>

<file path=xl/worksheets/sheet4.xml><?xml version="1.0" encoding="utf-8"?>
<worksheet xmlns="http://schemas.openxmlformats.org/spreadsheetml/2006/main" xmlns:r="http://schemas.openxmlformats.org/officeDocument/2006/relationships">
  <dimension ref="A1:G1000"/>
  <sheetViews>
    <sheetView workbookViewId="0" rightToLeft="0"/>
  </sheetViews>
  <sheetData>
    <row r="1">
      <c r="A1" t="str">
        <v>Object</v>
      </c>
      <c r="B1" t="str">
        <v>Current State</v>
      </c>
      <c r="C1" t="str">
        <v>Action / Condition</v>
      </c>
      <c r="D1" t="str">
        <v>Next State</v>
      </c>
      <c r="E1" t="str">
        <v>Notes (VI)</v>
      </c>
      <c r="F1" t="str">
        <v>Notes (EN)</v>
      </c>
      <c r="G1" t="str">
        <v>Source</v>
      </c>
    </row>
    <row r="2">
      <c r="A2" t="str">
        <v>POST</v>
      </c>
      <c r="B2" t="str">
        <v>DRAFT</v>
      </c>
      <c r="C2" t="str">
        <v>Seller submits for inspection</v>
      </c>
      <c r="D2" t="str">
        <v>PENDING_INSPECTION</v>
      </c>
      <c r="E2" t="str">
        <v>Tin nháp được gửi kiểm định.</v>
      </c>
      <c r="F2" t="str">
        <v>Draft listing submitted for inspection.</v>
      </c>
      <c r="G2" t="str">
        <v>Business Rules.docx</v>
      </c>
    </row>
    <row r="3">
      <c r="A3" t="str">
        <v>POST</v>
      </c>
      <c r="B3" t="str">
        <v>PENDING_INSPECTION</v>
      </c>
      <c r="C3" t="str">
        <v>Inspection Result = APPROVE</v>
      </c>
      <c r="D3" t="str">
        <v>PUBLISHED</v>
      </c>
      <c r="E3" t="str">
        <v>Được duyệt → Published lên sàn.</v>
      </c>
      <c r="F3" t="str">
        <v>Approved → published on marketplace.</v>
      </c>
      <c r="G3" t="str">
        <v>Business Rules.docx</v>
      </c>
    </row>
    <row r="4">
      <c r="A4" t="str">
        <v>POST</v>
      </c>
      <c r="B4" t="str">
        <v>PENDING_INSPECTION</v>
      </c>
      <c r="C4" t="str">
        <v>Inspection Result = REJECT</v>
      </c>
      <c r="D4" t="str">
        <v>REJECTED</v>
      </c>
      <c r="E4" t="str">
        <v>Bị từ chối → không đăng bán.</v>
      </c>
      <c r="F4" t="str">
        <v>Rejected → not for sale.</v>
      </c>
      <c r="G4" t="str">
        <v>Business Rules.docx</v>
      </c>
    </row>
    <row r="5">
      <c r="A5" t="str">
        <v>POST</v>
      </c>
      <c r="B5" t="str">
        <v>PENDING_INSPECTION</v>
      </c>
      <c r="C5" t="str">
        <v>Inspection Result = NEED_UPDATE</v>
      </c>
      <c r="D5" t="str">
        <v>NEED_UPDATE</v>
      </c>
      <c r="E5" t="str">
        <v>Yêu cầu cập nhật → trả về Seller.</v>
      </c>
      <c r="F5" t="str">
        <v>Need update → returned to seller.</v>
      </c>
      <c r="G5" t="str">
        <v>Business Rules.docx</v>
      </c>
    </row>
    <row r="6">
      <c r="A6" t="str">
        <v>POST</v>
      </c>
      <c r="B6" t="str">
        <v>NEED_UPDATE</v>
      </c>
      <c r="C6" t="str">
        <v>Seller resubmits for inspection</v>
      </c>
      <c r="D6" t="str">
        <v>PENDING_INSPECTION</v>
      </c>
      <c r="E6" t="str">
        <v>Seller cập nhật xong gửi lại kiểm định.</v>
      </c>
      <c r="F6" t="str">
        <v>Seller resubmits after update.</v>
      </c>
      <c r="G6" t="str">
        <v>Business Rules.docx</v>
      </c>
    </row>
    <row r="7">
      <c r="A7" t="str">
        <v>POST</v>
      </c>
      <c r="B7" t="str">
        <v>PUBLISHED</v>
      </c>
      <c r="C7" t="str">
        <v>Buyer creates paid order / reserve successfully</v>
      </c>
      <c r="D7" t="str">
        <v>RESERVED</v>
      </c>
      <c r="E7" t="str">
        <v>Thanh toán / giữ chỗ thành công -&gt; listing được khóa cho giao dịch hiện tại.</v>
      </c>
      <c r="F7" t="str">
        <v>Paid reservation succeeds -&gt; listing is reserved for the current transaction.</v>
      </c>
      <c r="G7" t="str">
        <v>Current app flow</v>
      </c>
    </row>
    <row r="8">
      <c r="A8" t="str">
        <v>ORDER</v>
      </c>
      <c r="B8" t="str">
        <v>RESERVED</v>
      </c>
      <c r="C8" t="str">
        <v>System confirms reservation and notifies seller</v>
      </c>
      <c r="D8" t="str">
        <v>PENDING_SELLER_SHIP</v>
      </c>
      <c r="E8" t="str">
        <v>Đơn đã giữ chỗ thành công và chờ Seller gửi xe về kho.</v>
      </c>
      <c r="F8" t="str">
        <v>Reservation confirmed and waiting for seller to ship bike to warehouse.</v>
      </c>
      <c r="G8" t="str">
        <v>Current app flow</v>
      </c>
    </row>
    <row r="9">
      <c r="A9" t="str">
        <v>ORDER</v>
      </c>
      <c r="B9" t="str">
        <v>PENDING_SELLER_SHIP</v>
      </c>
      <c r="C9" t="str">
        <v>Seller ships bike to warehouse</v>
      </c>
      <c r="D9" t="str">
        <v>SELLER_SHIPPED</v>
      </c>
      <c r="E9" t="str">
        <v>Seller đã gửi xe về kho.</v>
      </c>
      <c r="F9" t="str">
        <v>Seller shipped the bike to warehouse.</v>
      </c>
      <c r="G9" t="str">
        <v>Current app flow</v>
      </c>
    </row>
    <row r="10">
      <c r="A10" t="str">
        <v>ORDER</v>
      </c>
      <c r="B10" t="str">
        <v>SELLER_SHIPPED</v>
      </c>
      <c r="C10" t="str">
        <v>Admin confirms bike arrived at warehouse</v>
      </c>
      <c r="D10" t="str">
        <v>AT_WAREHOUSE_PENDING_ADMIN</v>
      </c>
      <c r="E10" t="str">
        <v>Admin xác nhận xe đã tới kho.</v>
      </c>
      <c r="F10" t="str">
        <v>Admin confirmed bike arrived at warehouse.</v>
      </c>
      <c r="G10" t="str">
        <v>Current app flow</v>
      </c>
    </row>
    <row r="11">
      <c r="A11" t="str">
        <v>ORDER</v>
      </c>
      <c r="B11" t="str">
        <v>AT_WAREHOUSE_PENDING_ADMIN</v>
      </c>
      <c r="C11" t="str">
        <v>Inspector starts re-inspection</v>
      </c>
      <c r="D11" t="str">
        <v>RE_INSPECTION</v>
      </c>
      <c r="E11" t="str">
        <v>Đơn hàng chuyển sang bước kiểm định lại tại kho.</v>
      </c>
      <c r="F11" t="str">
        <v>Order moves to warehouse re-inspection stage.</v>
      </c>
      <c r="G11" t="str">
        <v>Current app flow</v>
      </c>
    </row>
    <row r="12">
      <c r="A12" t="str">
        <v>ORDER</v>
      </c>
      <c r="B12" t="str">
        <v>RE_INSPECTION</v>
      </c>
      <c r="C12" t="str">
        <v>Inspector completes re-inspection successfully</v>
      </c>
      <c r="D12" t="str">
        <v>RE_INSPECTION_DONE</v>
      </c>
      <c r="E12" t="str">
        <v>Kiểm định lại hoàn tất.</v>
      </c>
      <c r="F12" t="str">
        <v>Re-inspection completed successfully.</v>
      </c>
      <c r="G12" t="str">
        <v>Current app flow</v>
      </c>
    </row>
    <row r="13">
      <c r="A13" t="str">
        <v>ORDER</v>
      </c>
      <c r="B13" t="str">
        <v>RE_INSPECTION_DONE</v>
      </c>
      <c r="C13" t="str">
        <v>System starts delivery to buyer</v>
      </c>
      <c r="D13" t="str">
        <v>SHIPPING</v>
      </c>
      <c r="E13" t="str">
        <v>Đơn hàng chuyển sang bước giao cho Buyer.</v>
      </c>
      <c r="F13" t="str">
        <v>Order moves to shipping stage.</v>
      </c>
      <c r="G13" t="str">
        <v>Current app flow</v>
      </c>
    </row>
    <row r="14">
      <c r="A14" t="str">
        <v>ORDER</v>
      </c>
      <c r="B14" t="str">
        <v>SHIPPING</v>
      </c>
      <c r="C14" t="str">
        <v>Buyer confirms receipt / completeOrder</v>
      </c>
      <c r="D14" t="str">
        <v>COMPLETED</v>
      </c>
      <c r="E14" t="str">
        <v>Buyer xác nhận nhận xe, giao dịch hoàn tất.</v>
      </c>
      <c r="F14" t="str">
        <v>Buyer confirms receipt and order is completed.</v>
      </c>
      <c r="G14" t="str">
        <v>Current app flow</v>
      </c>
    </row>
    <row r="15">
      <c r="A15" t="str">
        <v>ORDER</v>
      </c>
      <c r="B15" t="str">
        <v>RESERVED / PENDING_SELLER_SHIP</v>
      </c>
      <c r="C15" t="str">
        <v>Buyer cancels valid reservation</v>
      </c>
      <c r="D15" t="str">
        <v>CANCELLED</v>
      </c>
      <c r="E15" t="str">
        <v>Buyer hủy giao dịch hợp lệ theo chính sách hệ thống.</v>
      </c>
      <c r="F15" t="str">
        <v>Buyer cancels valid transaction per system policy.</v>
      </c>
      <c r="G15" t="str">
        <v>Current app flow</v>
      </c>
    </row>
    <row r="16">
      <c r="A16" t="str">
        <v>ORDER</v>
      </c>
      <c r="B16" t="str">
        <v>CANCELLED</v>
      </c>
      <c r="C16" t="str">
        <v>Refund is processed</v>
      </c>
      <c r="D16" t="str">
        <v>REFUNDED</v>
      </c>
      <c r="E16" t="str">
        <v>Khoản thanh toán được hoàn lại theo chính sách hoàn tiền.</v>
      </c>
      <c r="F16" t="str">
        <v>Payment is refunded according to refund policy.</v>
      </c>
      <c r="G16" t="str">
        <v>Current app flow</v>
      </c>
    </row>
    <row r="17">
      <c r="A17" t="str">
        <v>POST</v>
      </c>
      <c r="B17" t="str">
        <v>RESERVED / IN_TRANSACTION</v>
      </c>
      <c r="C17" t="str">
        <v>Order cancelled or refunded</v>
      </c>
      <c r="D17" t="str">
        <v>PUBLISHED</v>
      </c>
      <c r="E17" t="str">
        <v>Tin đăng được mở lại để Buyer khác có thể giao dịch.</v>
      </c>
      <c r="F17" t="str">
        <v>Listing is reopened for other buyers after cancellation/refund.</v>
      </c>
      <c r="G17" t="str">
        <v>Current app flow</v>
      </c>
    </row>
    <row r="18">
      <c r="A18" t="str">
        <v>POST</v>
      </c>
      <c r="B18" t="str">
        <v>PUBLISHED</v>
      </c>
      <c r="C18" t="str">
        <v>Admin hides listing or seller becomes restricted</v>
      </c>
      <c r="D18" t="str">
        <v>INACTIVE / HIDDEN</v>
      </c>
      <c r="E18" t="str">
        <v>Tin đăng bị ẩn khỏi marketplace do hành động quản trị hoặc tài khoản seller bị hạn chế.</v>
      </c>
      <c r="F18" t="str">
        <v>Listing is hidden from marketplace due to admin action or seller restriction.</v>
      </c>
      <c r="G18" t="str">
        <v>Current app flow</v>
      </c>
    </row>
  </sheetData>
  <pageMargins left="0.7" right="0.7" top="0.75" bottom="0.75" header="0" footer="0"/>
  <ignoredErrors>
    <ignoredError numberStoredAsText="1" sqref="A1:G1000"/>
  </ignoredErrors>
</worksheet>
</file>

<file path=xl/worksheets/sheet5.xml><?xml version="1.0" encoding="utf-8"?>
<worksheet xmlns="http://schemas.openxmlformats.org/spreadsheetml/2006/main" xmlns:r="http://schemas.openxmlformats.org/officeDocument/2006/relationships">
  <dimension ref="A1:I1000"/>
  <sheetViews>
    <sheetView workbookViewId="0" rightToLeft="0"/>
  </sheetViews>
  <sheetData>
    <row r="1">
      <c r="A1" t="str">
        <v>Pricing Rule ID</v>
      </c>
      <c r="B1" t="str">
        <v>Fee Item</v>
      </c>
      <c r="C1" t="str">
        <v>Rule (VI)</v>
      </c>
      <c r="D1" t="str">
        <v>Rule (EN)</v>
      </c>
      <c r="E1" t="str">
        <v>Amount (VND)</v>
      </c>
      <c r="F1" t="str">
        <v>Charged When</v>
      </c>
      <c r="G1" t="str">
        <v>Not Charged When</v>
      </c>
      <c r="H1" t="str">
        <v>Notes</v>
      </c>
      <c r="I1" t="str">
        <v>Priority</v>
      </c>
    </row>
    <row r="2">
      <c r="A2" t="str">
        <v>PR-01</v>
      </c>
      <c r="B2" t="str">
        <v>Listing Fee (Per Approved Listing)</v>
      </c>
      <c r="C2" t="str">
        <v>Phí đăng tin chỉ được thu khi tin đăng được kiểm định APPROVE và chuyển sang PUBLISHED.</v>
      </c>
      <c r="D2" t="str">
        <v>Listing fee is charged only when the listing is inspected as APPROVE and becomes PUBLISHED.</v>
      </c>
      <c r="E2">
        <v>50000</v>
      </c>
      <c r="F2" t="str">
        <v>Inspection Result = APPROVE (Post=PUBLISHED)</v>
      </c>
      <c r="G2" t="str">
        <v>Inspection Result = REJECT / NEED_UPDATE</v>
      </c>
      <c r="H2" t="str">
        <v>Bao gồm chi phí kiểm định cơ bản.</v>
      </c>
      <c r="I2" t="str">
        <v>MUST</v>
      </c>
    </row>
    <row r="3">
      <c r="A3" t="str">
        <v>PR-02</v>
      </c>
      <c r="B3" t="str">
        <v>Listing Fee (Rejected)</v>
      </c>
      <c r="C3" t="str">
        <v>Không thu phí đăng tin nếu tin đăng bị REJECT và không được đăng bán.</v>
      </c>
      <c r="D3" t="str">
        <v>No listing fee is charged if the listing is REJECTED and not published.</v>
      </c>
      <c r="E3">
        <v>0</v>
      </c>
      <c r="F3" t="str">
        <v>N/A</v>
      </c>
      <c r="G3" t="str">
        <v>Inspection Result = REJECT</v>
      </c>
      <c r="H3" t="str">
        <v>Đảm bảo công bằng cho Seller.</v>
      </c>
      <c r="I3" t="str">
        <v>MUST</v>
      </c>
    </row>
    <row r="4">
      <c r="A4" t="str">
        <v>PR-03</v>
      </c>
      <c r="B4" t="str">
        <v>Payment Channel</v>
      </c>
      <c r="C4" t="str">
        <v>Không hỗ trợ tiền mặt. Buyer thanh toán qua Card hoặc Bank Transfer trong hệ thống.</v>
      </c>
      <c r="D4" t="str">
        <v>Cash is not supported. Buyers pay through in-system Card or Bank Transfer methods.</v>
      </c>
      <c r="E4" t="str">
        <v/>
      </c>
      <c r="F4" t="str">
        <v>Any payment event</v>
      </c>
      <c r="G4" t="str">
        <v>Cash payment attempt</v>
      </c>
      <c r="H4" t="str">
        <v>Áp dụng cho checkout và finalize payment.</v>
      </c>
      <c r="I4" t="str">
        <v>MUST</v>
      </c>
    </row>
    <row r="5">
      <c r="A5" t="str">
        <v>PR-04</v>
      </c>
      <c r="B5" t="str">
        <v>Transaction Fee Configuration</v>
      </c>
      <c r="C5" t="str">
        <v>Phí giao dịch có thể được Admin cấu hình trong Admin Dashboard và áp dụng cho các giao dịch thành công theo cấu hình hiện hành.</v>
      </c>
      <c r="D5" t="str">
        <v>Transaction fees can be configured by Admin in the Admin Dashboard and applied to successful transactions based on the active configuration.</v>
      </c>
      <c r="E5" t="str">
        <v/>
      </c>
      <c r="F5" t="str">
        <v>Successful transaction under active fee config</v>
      </c>
      <c r="G5" t="str">
        <v/>
      </c>
      <c r="H5" t="str">
        <v>Theo dõi tại tab Transactions.</v>
      </c>
      <c r="I5" t="str">
        <v>MUST</v>
      </c>
    </row>
    <row r="6">
      <c r="A6" t="str">
        <v>PR-05</v>
      </c>
      <c r="B6" t="str">
        <v>Fee Change Audit Trail</v>
      </c>
      <c r="C6" t="str">
        <v>Mọi thay đổi về mức phí phải được lưu lại để phục vụ đối soát và xem lịch sử cấu hình.</v>
      </c>
      <c r="D6" t="str">
        <v>All fee configuration changes must be stored for audit and history tracking.</v>
      </c>
      <c r="E6" t="str">
        <v/>
      </c>
      <c r="F6" t="str">
        <v>Admin updates fee configuration</v>
      </c>
      <c r="G6" t="str">
        <v/>
      </c>
      <c r="H6" t="str">
        <v>Phục vụ vận hành và kiểm soát giao dịch.</v>
      </c>
      <c r="I6" t="str">
        <v>MUST</v>
      </c>
    </row>
  </sheetData>
  <pageMargins left="0.7" right="0.7" top="0.75" bottom="0.75" header="0" footer="0"/>
  <ignoredErrors>
    <ignoredError numberStoredAsText="1" sqref="A1:I1000"/>
  </ignoredErrors>
</worksheet>
</file>

<file path=xl/worksheets/sheet6.xml><?xml version="1.0" encoding="utf-8"?>
<worksheet xmlns="http://schemas.openxmlformats.org/spreadsheetml/2006/main" xmlns:r="http://schemas.openxmlformats.org/officeDocument/2006/relationships">
  <dimension ref="A1:K1000"/>
  <sheetViews>
    <sheetView workbookViewId="0" rightToLeft="0"/>
  </sheetViews>
  <sheetData>
    <row r="1">
      <c r="A1" t="str">
        <v>Revenue Simulation (Monthly)</v>
      </c>
    </row>
    <row r="3">
      <c r="A3" t="str">
        <v>Assumptions</v>
      </c>
    </row>
    <row r="4">
      <c r="A4" t="str">
        <v>Listing fee per APPROVED post (VND)</v>
      </c>
      <c r="D4">
        <v>50000</v>
      </c>
      <c r="E4" t="str">
        <v>Blue = input</v>
      </c>
    </row>
    <row r="5">
      <c r="A5" t="str">
        <v>Days in month</v>
      </c>
      <c r="D5">
        <v>30</v>
      </c>
      <c r="E5" t="str">
        <v>1-31</v>
      </c>
    </row>
    <row r="8">
      <c r="A8" t="str">
        <v>Day</v>
      </c>
      <c r="B8" t="str">
        <v>Approved Listings (Input)</v>
      </c>
      <c r="C8" t="str">
        <v>Fee / Listing (VND)</v>
      </c>
      <c r="D8" t="str">
        <v>Daily Revenue (VND)</v>
      </c>
      <c r="E8" t="str">
        <v>Week #</v>
      </c>
      <c r="F8" t="str">
        <v>Notes</v>
      </c>
      <c r="G8" t="str">
        <v>W1</v>
      </c>
      <c r="H8" t="str">
        <v>W2</v>
      </c>
      <c r="I8" t="str">
        <v>W3</v>
      </c>
      <c r="J8" t="str">
        <v>W4</v>
      </c>
      <c r="K8" t="str">
        <v>W5</v>
      </c>
    </row>
    <row r="9">
      <c r="A9">
        <v>1</v>
      </c>
      <c r="B9">
        <v>5</v>
      </c>
      <c r="C9">
        <f>$D$4</f>
        <v>50000</v>
      </c>
      <c r="D9">
        <f>IF(A9&lt;=$D$5,B9*C9,0)</f>
        <v>250000</v>
      </c>
      <c r="E9">
        <f>INT((A9-1)/7)+1</f>
        <v>1</v>
      </c>
      <c r="F9" t="str">
        <v/>
      </c>
      <c r="G9">
        <f>IF($E9=1,$D9,0)</f>
        <v>250000</v>
      </c>
      <c r="H9">
        <f>IF($E9=2,$D9,0)</f>
        <v>0</v>
      </c>
      <c r="I9">
        <f>IF($E9=3,$D9,0)</f>
        <v>0</v>
      </c>
      <c r="J9">
        <f>IF($E9=4,$D9,0)</f>
        <v>0</v>
      </c>
      <c r="K9">
        <f>IF($E9=5,$D9,0)</f>
        <v>0</v>
      </c>
    </row>
    <row r="10">
      <c r="A10">
        <v>2</v>
      </c>
      <c r="B10">
        <v>5</v>
      </c>
      <c r="C10">
        <f>$D$4</f>
        <v>50000</v>
      </c>
      <c r="D10">
        <f>IF(A10&lt;=$D$5,B10*C10,0)</f>
        <v>250000</v>
      </c>
      <c r="E10">
        <f>INT((A10-1)/7)+1</f>
        <v>1</v>
      </c>
      <c r="F10" t="str">
        <v/>
      </c>
      <c r="G10">
        <f>IF($E10=1,$D10,0)</f>
        <v>250000</v>
      </c>
      <c r="H10">
        <f>IF($E10=2,$D10,0)</f>
        <v>0</v>
      </c>
      <c r="I10">
        <f>IF($E10=3,$D10,0)</f>
        <v>0</v>
      </c>
      <c r="J10">
        <f>IF($E10=4,$D10,0)</f>
        <v>0</v>
      </c>
      <c r="K10">
        <f>IF($E10=5,$D10,0)</f>
        <v>0</v>
      </c>
    </row>
    <row r="11">
      <c r="A11">
        <v>3</v>
      </c>
      <c r="B11">
        <v>5</v>
      </c>
      <c r="C11">
        <f>$D$4</f>
        <v>50000</v>
      </c>
      <c r="D11">
        <f>IF(A11&lt;=$D$5,B11*C11,0)</f>
        <v>250000</v>
      </c>
      <c r="E11">
        <f>INT((A11-1)/7)+1</f>
        <v>1</v>
      </c>
      <c r="F11" t="str">
        <v/>
      </c>
      <c r="G11">
        <f>IF($E11=1,$D11,0)</f>
        <v>250000</v>
      </c>
      <c r="H11">
        <f>IF($E11=2,$D11,0)</f>
        <v>0</v>
      </c>
      <c r="I11">
        <f>IF($E11=3,$D11,0)</f>
        <v>0</v>
      </c>
      <c r="J11">
        <f>IF($E11=4,$D11,0)</f>
        <v>0</v>
      </c>
      <c r="K11">
        <f>IF($E11=5,$D11,0)</f>
        <v>0</v>
      </c>
    </row>
    <row r="12">
      <c r="A12">
        <v>4</v>
      </c>
      <c r="B12">
        <v>5</v>
      </c>
      <c r="C12">
        <f>$D$4</f>
        <v>50000</v>
      </c>
      <c r="D12">
        <f>IF(A12&lt;=$D$5,B12*C12,0)</f>
        <v>250000</v>
      </c>
      <c r="E12">
        <f>INT((A12-1)/7)+1</f>
        <v>1</v>
      </c>
      <c r="F12" t="str">
        <v/>
      </c>
      <c r="G12">
        <f>IF($E12=1,$D12,0)</f>
        <v>250000</v>
      </c>
      <c r="H12">
        <f>IF($E12=2,$D12,0)</f>
        <v>0</v>
      </c>
      <c r="I12">
        <f>IF($E12=3,$D12,0)</f>
        <v>0</v>
      </c>
      <c r="J12">
        <f>IF($E12=4,$D12,0)</f>
        <v>0</v>
      </c>
      <c r="K12">
        <f>IF($E12=5,$D12,0)</f>
        <v>0</v>
      </c>
    </row>
    <row r="13">
      <c r="A13">
        <v>5</v>
      </c>
      <c r="B13">
        <v>5</v>
      </c>
      <c r="C13">
        <f>$D$4</f>
        <v>50000</v>
      </c>
      <c r="D13">
        <f>IF(A13&lt;=$D$5,B13*C13,0)</f>
        <v>250000</v>
      </c>
      <c r="E13">
        <f>INT((A13-1)/7)+1</f>
        <v>1</v>
      </c>
      <c r="F13" t="str">
        <v/>
      </c>
      <c r="G13">
        <f>IF($E13=1,$D13,0)</f>
        <v>250000</v>
      </c>
      <c r="H13">
        <f>IF($E13=2,$D13,0)</f>
        <v>0</v>
      </c>
      <c r="I13">
        <f>IF($E13=3,$D13,0)</f>
        <v>0</v>
      </c>
      <c r="J13">
        <f>IF($E13=4,$D13,0)</f>
        <v>0</v>
      </c>
      <c r="K13">
        <f>IF($E13=5,$D13,0)</f>
        <v>0</v>
      </c>
    </row>
    <row r="14">
      <c r="A14">
        <v>6</v>
      </c>
      <c r="B14">
        <v>5</v>
      </c>
      <c r="C14">
        <f>$D$4</f>
        <v>50000</v>
      </c>
      <c r="D14">
        <f>IF(A14&lt;=$D$5,B14*C14,0)</f>
        <v>250000</v>
      </c>
      <c r="E14">
        <f>INT((A14-1)/7)+1</f>
        <v>1</v>
      </c>
      <c r="F14" t="str">
        <v/>
      </c>
      <c r="G14">
        <f>IF($E14=1,$D14,0)</f>
        <v>250000</v>
      </c>
      <c r="H14">
        <f>IF($E14=2,$D14,0)</f>
        <v>0</v>
      </c>
      <c r="I14">
        <f>IF($E14=3,$D14,0)</f>
        <v>0</v>
      </c>
      <c r="J14">
        <f>IF($E14=4,$D14,0)</f>
        <v>0</v>
      </c>
      <c r="K14">
        <f>IF($E14=5,$D14,0)</f>
        <v>0</v>
      </c>
    </row>
    <row r="15">
      <c r="A15">
        <v>7</v>
      </c>
      <c r="B15">
        <v>5</v>
      </c>
      <c r="C15">
        <f>$D$4</f>
        <v>50000</v>
      </c>
      <c r="D15">
        <f>IF(A15&lt;=$D$5,B15*C15,0)</f>
        <v>250000</v>
      </c>
      <c r="E15">
        <f>INT((A15-1)/7)+1</f>
        <v>1</v>
      </c>
      <c r="F15" t="str">
        <v/>
      </c>
      <c r="G15">
        <f>IF($E15=1,$D15,0)</f>
        <v>250000</v>
      </c>
      <c r="H15">
        <f>IF($E15=2,$D15,0)</f>
        <v>0</v>
      </c>
      <c r="I15">
        <f>IF($E15=3,$D15,0)</f>
        <v>0</v>
      </c>
      <c r="J15">
        <f>IF($E15=4,$D15,0)</f>
        <v>0</v>
      </c>
      <c r="K15">
        <f>IF($E15=5,$D15,0)</f>
        <v>0</v>
      </c>
    </row>
    <row r="16">
      <c r="A16">
        <v>8</v>
      </c>
      <c r="B16">
        <v>5</v>
      </c>
      <c r="C16">
        <f>$D$4</f>
        <v>50000</v>
      </c>
      <c r="D16">
        <f>IF(A16&lt;=$D$5,B16*C16,0)</f>
        <v>250000</v>
      </c>
      <c r="E16">
        <f>INT((A16-1)/7)+1</f>
        <v>2</v>
      </c>
      <c r="F16" t="str">
        <v/>
      </c>
      <c r="G16">
        <f>IF($E16=1,$D16,0)</f>
        <v>0</v>
      </c>
      <c r="H16">
        <f>IF($E16=2,$D16,0)</f>
        <v>250000</v>
      </c>
      <c r="I16">
        <f>IF($E16=3,$D16,0)</f>
        <v>0</v>
      </c>
      <c r="J16">
        <f>IF($E16=4,$D16,0)</f>
        <v>0</v>
      </c>
      <c r="K16">
        <f>IF($E16=5,$D16,0)</f>
        <v>0</v>
      </c>
    </row>
    <row r="17">
      <c r="A17">
        <v>9</v>
      </c>
      <c r="B17">
        <v>5</v>
      </c>
      <c r="C17">
        <f>$D$4</f>
        <v>50000</v>
      </c>
      <c r="D17">
        <f>IF(A17&lt;=$D$5,B17*C17,0)</f>
        <v>250000</v>
      </c>
      <c r="E17">
        <f>INT((A17-1)/7)+1</f>
        <v>2</v>
      </c>
      <c r="F17" t="str">
        <v/>
      </c>
      <c r="G17">
        <f>IF($E17=1,$D17,0)</f>
        <v>0</v>
      </c>
      <c r="H17">
        <f>IF($E17=2,$D17,0)</f>
        <v>250000</v>
      </c>
      <c r="I17">
        <f>IF($E17=3,$D17,0)</f>
        <v>0</v>
      </c>
      <c r="J17">
        <f>IF($E17=4,$D17,0)</f>
        <v>0</v>
      </c>
      <c r="K17">
        <f>IF($E17=5,$D17,0)</f>
        <v>0</v>
      </c>
    </row>
    <row r="18">
      <c r="A18">
        <v>10</v>
      </c>
      <c r="B18">
        <v>5</v>
      </c>
      <c r="C18">
        <f>$D$4</f>
        <v>50000</v>
      </c>
      <c r="D18">
        <f>IF(A18&lt;=$D$5,B18*C18,0)</f>
        <v>250000</v>
      </c>
      <c r="E18">
        <f>INT((A18-1)/7)+1</f>
        <v>2</v>
      </c>
      <c r="F18" t="str">
        <v/>
      </c>
      <c r="G18">
        <f>IF($E18=1,$D18,0)</f>
        <v>0</v>
      </c>
      <c r="H18">
        <f>IF($E18=2,$D18,0)</f>
        <v>250000</v>
      </c>
      <c r="I18">
        <f>IF($E18=3,$D18,0)</f>
        <v>0</v>
      </c>
      <c r="J18">
        <f>IF($E18=4,$D18,0)</f>
        <v>0</v>
      </c>
      <c r="K18">
        <f>IF($E18=5,$D18,0)</f>
        <v>0</v>
      </c>
    </row>
    <row r="19">
      <c r="A19">
        <v>11</v>
      </c>
      <c r="B19">
        <v>5</v>
      </c>
      <c r="C19">
        <f>$D$4</f>
        <v>50000</v>
      </c>
      <c r="D19">
        <f>IF(A19&lt;=$D$5,B19*C19,0)</f>
        <v>250000</v>
      </c>
      <c r="E19">
        <f>INT((A19-1)/7)+1</f>
        <v>2</v>
      </c>
      <c r="F19" t="str">
        <v/>
      </c>
      <c r="G19">
        <f>IF($E19=1,$D19,0)</f>
        <v>0</v>
      </c>
      <c r="H19">
        <f>IF($E19=2,$D19,0)</f>
        <v>250000</v>
      </c>
      <c r="I19">
        <f>IF($E19=3,$D19,0)</f>
        <v>0</v>
      </c>
      <c r="J19">
        <f>IF($E19=4,$D19,0)</f>
        <v>0</v>
      </c>
      <c r="K19">
        <f>IF($E19=5,$D19,0)</f>
        <v>0</v>
      </c>
    </row>
    <row r="20">
      <c r="A20">
        <v>12</v>
      </c>
      <c r="B20">
        <v>5</v>
      </c>
      <c r="C20">
        <f>$D$4</f>
        <v>50000</v>
      </c>
      <c r="D20">
        <f>IF(A20&lt;=$D$5,B20*C20,0)</f>
        <v>250000</v>
      </c>
      <c r="E20">
        <f>INT((A20-1)/7)+1</f>
        <v>2</v>
      </c>
      <c r="F20" t="str">
        <v/>
      </c>
      <c r="G20">
        <f>IF($E20=1,$D20,0)</f>
        <v>0</v>
      </c>
      <c r="H20">
        <f>IF($E20=2,$D20,0)</f>
        <v>250000</v>
      </c>
      <c r="I20">
        <f>IF($E20=3,$D20,0)</f>
        <v>0</v>
      </c>
      <c r="J20">
        <f>IF($E20=4,$D20,0)</f>
        <v>0</v>
      </c>
      <c r="K20">
        <f>IF($E20=5,$D20,0)</f>
        <v>0</v>
      </c>
    </row>
    <row r="21">
      <c r="A21">
        <v>13</v>
      </c>
      <c r="B21">
        <v>5</v>
      </c>
      <c r="C21">
        <f>$D$4</f>
        <v>50000</v>
      </c>
      <c r="D21">
        <f>IF(A21&lt;=$D$5,B21*C21,0)</f>
        <v>250000</v>
      </c>
      <c r="E21">
        <f>INT((A21-1)/7)+1</f>
        <v>2</v>
      </c>
      <c r="F21" t="str">
        <v/>
      </c>
      <c r="G21">
        <f>IF($E21=1,$D21,0)</f>
        <v>0</v>
      </c>
      <c r="H21">
        <f>IF($E21=2,$D21,0)</f>
        <v>250000</v>
      </c>
      <c r="I21">
        <f>IF($E21=3,$D21,0)</f>
        <v>0</v>
      </c>
      <c r="J21">
        <f>IF($E21=4,$D21,0)</f>
        <v>0</v>
      </c>
      <c r="K21">
        <f>IF($E21=5,$D21,0)</f>
        <v>0</v>
      </c>
    </row>
    <row r="22">
      <c r="A22">
        <v>14</v>
      </c>
      <c r="B22">
        <v>5</v>
      </c>
      <c r="C22">
        <f>$D$4</f>
        <v>50000</v>
      </c>
      <c r="D22">
        <f>IF(A22&lt;=$D$5,B22*C22,0)</f>
        <v>250000</v>
      </c>
      <c r="E22">
        <f>INT((A22-1)/7)+1</f>
        <v>2</v>
      </c>
      <c r="F22" t="str">
        <v/>
      </c>
      <c r="G22">
        <f>IF($E22=1,$D22,0)</f>
        <v>0</v>
      </c>
      <c r="H22">
        <f>IF($E22=2,$D22,0)</f>
        <v>250000</v>
      </c>
      <c r="I22">
        <f>IF($E22=3,$D22,0)</f>
        <v>0</v>
      </c>
      <c r="J22">
        <f>IF($E22=4,$D22,0)</f>
        <v>0</v>
      </c>
      <c r="K22">
        <f>IF($E22=5,$D22,0)</f>
        <v>0</v>
      </c>
    </row>
    <row r="23">
      <c r="A23">
        <v>15</v>
      </c>
      <c r="B23">
        <v>5</v>
      </c>
      <c r="C23">
        <f>$D$4</f>
        <v>50000</v>
      </c>
      <c r="D23">
        <f>IF(A23&lt;=$D$5,B23*C23,0)</f>
        <v>250000</v>
      </c>
      <c r="E23">
        <f>INT((A23-1)/7)+1</f>
        <v>3</v>
      </c>
      <c r="F23" t="str">
        <v/>
      </c>
      <c r="G23">
        <f>IF($E23=1,$D23,0)</f>
        <v>0</v>
      </c>
      <c r="H23">
        <f>IF($E23=2,$D23,0)</f>
        <v>0</v>
      </c>
      <c r="I23">
        <f>IF($E23=3,$D23,0)</f>
        <v>250000</v>
      </c>
      <c r="J23">
        <f>IF($E23=4,$D23,0)</f>
        <v>0</v>
      </c>
      <c r="K23">
        <f>IF($E23=5,$D23,0)</f>
        <v>0</v>
      </c>
    </row>
    <row r="24">
      <c r="A24">
        <v>16</v>
      </c>
      <c r="B24">
        <v>5</v>
      </c>
      <c r="C24">
        <f>$D$4</f>
        <v>50000</v>
      </c>
      <c r="D24">
        <f>IF(A24&lt;=$D$5,B24*C24,0)</f>
        <v>250000</v>
      </c>
      <c r="E24">
        <f>INT((A24-1)/7)+1</f>
        <v>3</v>
      </c>
      <c r="F24" t="str">
        <v/>
      </c>
      <c r="G24">
        <f>IF($E24=1,$D24,0)</f>
        <v>0</v>
      </c>
      <c r="H24">
        <f>IF($E24=2,$D24,0)</f>
        <v>0</v>
      </c>
      <c r="I24">
        <f>IF($E24=3,$D24,0)</f>
        <v>250000</v>
      </c>
      <c r="J24">
        <f>IF($E24=4,$D24,0)</f>
        <v>0</v>
      </c>
      <c r="K24">
        <f>IF($E24=5,$D24,0)</f>
        <v>0</v>
      </c>
    </row>
    <row r="25">
      <c r="A25">
        <v>17</v>
      </c>
      <c r="B25">
        <v>5</v>
      </c>
      <c r="C25">
        <f>$D$4</f>
        <v>50000</v>
      </c>
      <c r="D25">
        <f>IF(A25&lt;=$D$5,B25*C25,0)</f>
        <v>250000</v>
      </c>
      <c r="E25">
        <f>INT((A25-1)/7)+1</f>
        <v>3</v>
      </c>
      <c r="F25" t="str">
        <v/>
      </c>
      <c r="G25">
        <f>IF($E25=1,$D25,0)</f>
        <v>0</v>
      </c>
      <c r="H25">
        <f>IF($E25=2,$D25,0)</f>
        <v>0</v>
      </c>
      <c r="I25">
        <f>IF($E25=3,$D25,0)</f>
        <v>250000</v>
      </c>
      <c r="J25">
        <f>IF($E25=4,$D25,0)</f>
        <v>0</v>
      </c>
      <c r="K25">
        <f>IF($E25=5,$D25,0)</f>
        <v>0</v>
      </c>
    </row>
    <row r="26">
      <c r="A26">
        <v>18</v>
      </c>
      <c r="B26">
        <v>5</v>
      </c>
      <c r="C26">
        <f>$D$4</f>
        <v>50000</v>
      </c>
      <c r="D26">
        <f>IF(A26&lt;=$D$5,B26*C26,0)</f>
        <v>250000</v>
      </c>
      <c r="E26">
        <f>INT((A26-1)/7)+1</f>
        <v>3</v>
      </c>
      <c r="F26" t="str">
        <v/>
      </c>
      <c r="G26">
        <f>IF($E26=1,$D26,0)</f>
        <v>0</v>
      </c>
      <c r="H26">
        <f>IF($E26=2,$D26,0)</f>
        <v>0</v>
      </c>
      <c r="I26">
        <f>IF($E26=3,$D26,0)</f>
        <v>250000</v>
      </c>
      <c r="J26">
        <f>IF($E26=4,$D26,0)</f>
        <v>0</v>
      </c>
      <c r="K26">
        <f>IF($E26=5,$D26,0)</f>
        <v>0</v>
      </c>
    </row>
    <row r="27">
      <c r="A27">
        <v>19</v>
      </c>
      <c r="B27">
        <v>5</v>
      </c>
      <c r="C27">
        <f>$D$4</f>
        <v>50000</v>
      </c>
      <c r="D27">
        <f>IF(A27&lt;=$D$5,B27*C27,0)</f>
        <v>250000</v>
      </c>
      <c r="E27">
        <f>INT((A27-1)/7)+1</f>
        <v>3</v>
      </c>
      <c r="F27" t="str">
        <v/>
      </c>
      <c r="G27">
        <f>IF($E27=1,$D27,0)</f>
        <v>0</v>
      </c>
      <c r="H27">
        <f>IF($E27=2,$D27,0)</f>
        <v>0</v>
      </c>
      <c r="I27">
        <f>IF($E27=3,$D27,0)</f>
        <v>250000</v>
      </c>
      <c r="J27">
        <f>IF($E27=4,$D27,0)</f>
        <v>0</v>
      </c>
      <c r="K27">
        <f>IF($E27=5,$D27,0)</f>
        <v>0</v>
      </c>
    </row>
    <row r="28">
      <c r="A28">
        <v>20</v>
      </c>
      <c r="B28">
        <v>5</v>
      </c>
      <c r="C28">
        <f>$D$4</f>
        <v>50000</v>
      </c>
      <c r="D28">
        <f>IF(A28&lt;=$D$5,B28*C28,0)</f>
        <v>250000</v>
      </c>
      <c r="E28">
        <f>INT((A28-1)/7)+1</f>
        <v>3</v>
      </c>
      <c r="F28" t="str">
        <v/>
      </c>
      <c r="G28">
        <f>IF($E28=1,$D28,0)</f>
        <v>0</v>
      </c>
      <c r="H28">
        <f>IF($E28=2,$D28,0)</f>
        <v>0</v>
      </c>
      <c r="I28">
        <f>IF($E28=3,$D28,0)</f>
        <v>250000</v>
      </c>
      <c r="J28">
        <f>IF($E28=4,$D28,0)</f>
        <v>0</v>
      </c>
      <c r="K28">
        <f>IF($E28=5,$D28,0)</f>
        <v>0</v>
      </c>
    </row>
    <row r="29">
      <c r="A29">
        <v>21</v>
      </c>
      <c r="B29">
        <v>5</v>
      </c>
      <c r="C29">
        <f>$D$4</f>
        <v>50000</v>
      </c>
      <c r="D29">
        <f>IF(A29&lt;=$D$5,B29*C29,0)</f>
        <v>250000</v>
      </c>
      <c r="E29">
        <f>INT((A29-1)/7)+1</f>
        <v>3</v>
      </c>
      <c r="F29" t="str">
        <v/>
      </c>
      <c r="G29">
        <f>IF($E29=1,$D29,0)</f>
        <v>0</v>
      </c>
      <c r="H29">
        <f>IF($E29=2,$D29,0)</f>
        <v>0</v>
      </c>
      <c r="I29">
        <f>IF($E29=3,$D29,0)</f>
        <v>250000</v>
      </c>
      <c r="J29">
        <f>IF($E29=4,$D29,0)</f>
        <v>0</v>
      </c>
      <c r="K29">
        <f>IF($E29=5,$D29,0)</f>
        <v>0</v>
      </c>
    </row>
    <row r="30">
      <c r="A30">
        <v>22</v>
      </c>
      <c r="B30">
        <v>5</v>
      </c>
      <c r="C30">
        <f>$D$4</f>
        <v>50000</v>
      </c>
      <c r="D30">
        <f>IF(A30&lt;=$D$5,B30*C30,0)</f>
        <v>250000</v>
      </c>
      <c r="E30">
        <f>INT((A30-1)/7)+1</f>
        <v>4</v>
      </c>
      <c r="F30" t="str">
        <v/>
      </c>
      <c r="G30">
        <f>IF($E30=1,$D30,0)</f>
        <v>0</v>
      </c>
      <c r="H30">
        <f>IF($E30=2,$D30,0)</f>
        <v>0</v>
      </c>
      <c r="I30">
        <f>IF($E30=3,$D30,0)</f>
        <v>0</v>
      </c>
      <c r="J30">
        <f>IF($E30=4,$D30,0)</f>
        <v>250000</v>
      </c>
      <c r="K30">
        <f>IF($E30=5,$D30,0)</f>
        <v>0</v>
      </c>
    </row>
    <row r="31">
      <c r="A31">
        <v>23</v>
      </c>
      <c r="B31">
        <v>5</v>
      </c>
      <c r="C31">
        <f>$D$4</f>
        <v>50000</v>
      </c>
      <c r="D31">
        <f>IF(A31&lt;=$D$5,B31*C31,0)</f>
        <v>250000</v>
      </c>
      <c r="E31">
        <f>INT((A31-1)/7)+1</f>
        <v>4</v>
      </c>
      <c r="F31" t="str">
        <v/>
      </c>
      <c r="G31">
        <f>IF($E31=1,$D31,0)</f>
        <v>0</v>
      </c>
      <c r="H31">
        <f>IF($E31=2,$D31,0)</f>
        <v>0</v>
      </c>
      <c r="I31">
        <f>IF($E31=3,$D31,0)</f>
        <v>0</v>
      </c>
      <c r="J31">
        <f>IF($E31=4,$D31,0)</f>
        <v>250000</v>
      </c>
      <c r="K31">
        <f>IF($E31=5,$D31,0)</f>
        <v>0</v>
      </c>
    </row>
    <row r="32">
      <c r="A32">
        <v>24</v>
      </c>
      <c r="B32">
        <v>5</v>
      </c>
      <c r="C32">
        <f>$D$4</f>
        <v>50000</v>
      </c>
      <c r="D32">
        <f>IF(A32&lt;=$D$5,B32*C32,0)</f>
        <v>250000</v>
      </c>
      <c r="E32">
        <f>INT((A32-1)/7)+1</f>
        <v>4</v>
      </c>
      <c r="F32" t="str">
        <v/>
      </c>
      <c r="G32">
        <f>IF($E32=1,$D32,0)</f>
        <v>0</v>
      </c>
      <c r="H32">
        <f>IF($E32=2,$D32,0)</f>
        <v>0</v>
      </c>
      <c r="I32">
        <f>IF($E32=3,$D32,0)</f>
        <v>0</v>
      </c>
      <c r="J32">
        <f>IF($E32=4,$D32,0)</f>
        <v>250000</v>
      </c>
      <c r="K32">
        <f>IF($E32=5,$D32,0)</f>
        <v>0</v>
      </c>
    </row>
    <row r="33">
      <c r="A33">
        <v>25</v>
      </c>
      <c r="B33">
        <v>5</v>
      </c>
      <c r="C33">
        <f>$D$4</f>
        <v>50000</v>
      </c>
      <c r="D33">
        <f>IF(A33&lt;=$D$5,B33*C33,0)</f>
        <v>250000</v>
      </c>
      <c r="E33">
        <f>INT((A33-1)/7)+1</f>
        <v>4</v>
      </c>
      <c r="F33" t="str">
        <v/>
      </c>
      <c r="G33">
        <f>IF($E33=1,$D33,0)</f>
        <v>0</v>
      </c>
      <c r="H33">
        <f>IF($E33=2,$D33,0)</f>
        <v>0</v>
      </c>
      <c r="I33">
        <f>IF($E33=3,$D33,0)</f>
        <v>0</v>
      </c>
      <c r="J33">
        <f>IF($E33=4,$D33,0)</f>
        <v>250000</v>
      </c>
      <c r="K33">
        <f>IF($E33=5,$D33,0)</f>
        <v>0</v>
      </c>
    </row>
    <row r="34">
      <c r="A34">
        <v>26</v>
      </c>
      <c r="B34">
        <v>5</v>
      </c>
      <c r="C34">
        <f>$D$4</f>
        <v>50000</v>
      </c>
      <c r="D34">
        <f>IF(A34&lt;=$D$5,B34*C34,0)</f>
        <v>250000</v>
      </c>
      <c r="E34">
        <f>INT((A34-1)/7)+1</f>
        <v>4</v>
      </c>
      <c r="F34" t="str">
        <v/>
      </c>
      <c r="G34">
        <f>IF($E34=1,$D34,0)</f>
        <v>0</v>
      </c>
      <c r="H34">
        <f>IF($E34=2,$D34,0)</f>
        <v>0</v>
      </c>
      <c r="I34">
        <f>IF($E34=3,$D34,0)</f>
        <v>0</v>
      </c>
      <c r="J34">
        <f>IF($E34=4,$D34,0)</f>
        <v>250000</v>
      </c>
      <c r="K34">
        <f>IF($E34=5,$D34,0)</f>
        <v>0</v>
      </c>
    </row>
    <row r="35">
      <c r="A35">
        <v>27</v>
      </c>
      <c r="B35">
        <v>5</v>
      </c>
      <c r="C35">
        <f>$D$4</f>
        <v>50000</v>
      </c>
      <c r="D35">
        <f>IF(A35&lt;=$D$5,B35*C35,0)</f>
        <v>250000</v>
      </c>
      <c r="E35">
        <f>INT((A35-1)/7)+1</f>
        <v>4</v>
      </c>
      <c r="F35" t="str">
        <v/>
      </c>
      <c r="G35">
        <f>IF($E35=1,$D35,0)</f>
        <v>0</v>
      </c>
      <c r="H35">
        <f>IF($E35=2,$D35,0)</f>
        <v>0</v>
      </c>
      <c r="I35">
        <f>IF($E35=3,$D35,0)</f>
        <v>0</v>
      </c>
      <c r="J35">
        <f>IF($E35=4,$D35,0)</f>
        <v>250000</v>
      </c>
      <c r="K35">
        <f>IF($E35=5,$D35,0)</f>
        <v>0</v>
      </c>
    </row>
    <row r="36">
      <c r="A36">
        <v>28</v>
      </c>
      <c r="B36">
        <v>5</v>
      </c>
      <c r="C36">
        <f>$D$4</f>
        <v>50000</v>
      </c>
      <c r="D36">
        <f>IF(A36&lt;=$D$5,B36*C36,0)</f>
        <v>250000</v>
      </c>
      <c r="E36">
        <f>INT((A36-1)/7)+1</f>
        <v>4</v>
      </c>
      <c r="F36" t="str">
        <v/>
      </c>
      <c r="G36">
        <f>IF($E36=1,$D36,0)</f>
        <v>0</v>
      </c>
      <c r="H36">
        <f>IF($E36=2,$D36,0)</f>
        <v>0</v>
      </c>
      <c r="I36">
        <f>IF($E36=3,$D36,0)</f>
        <v>0</v>
      </c>
      <c r="J36">
        <f>IF($E36=4,$D36,0)</f>
        <v>250000</v>
      </c>
      <c r="K36">
        <f>IF($E36=5,$D36,0)</f>
        <v>0</v>
      </c>
    </row>
    <row r="37">
      <c r="A37">
        <v>29</v>
      </c>
      <c r="B37">
        <v>5</v>
      </c>
      <c r="C37">
        <f>$D$4</f>
        <v>50000</v>
      </c>
      <c r="D37">
        <f>IF(A37&lt;=$D$5,B37*C37,0)</f>
        <v>250000</v>
      </c>
      <c r="E37">
        <f>INT((A37-1)/7)+1</f>
        <v>5</v>
      </c>
      <c r="F37" t="str">
        <v/>
      </c>
      <c r="G37">
        <f>IF($E37=1,$D37,0)</f>
        <v>0</v>
      </c>
      <c r="H37">
        <f>IF($E37=2,$D37,0)</f>
        <v>0</v>
      </c>
      <c r="I37">
        <f>IF($E37=3,$D37,0)</f>
        <v>0</v>
      </c>
      <c r="J37">
        <f>IF($E37=4,$D37,0)</f>
        <v>0</v>
      </c>
      <c r="K37">
        <f>IF($E37=5,$D37,0)</f>
        <v>250000</v>
      </c>
    </row>
    <row r="38">
      <c r="A38">
        <v>30</v>
      </c>
      <c r="B38">
        <v>5</v>
      </c>
      <c r="C38">
        <f>$D$4</f>
        <v>50000</v>
      </c>
      <c r="D38">
        <f>IF(A38&lt;=$D$5,B38*C38,0)</f>
        <v>250000</v>
      </c>
      <c r="E38">
        <f>INT((A38-1)/7)+1</f>
        <v>5</v>
      </c>
      <c r="F38" t="str">
        <v/>
      </c>
      <c r="G38">
        <f>IF($E38=1,$D38,0)</f>
        <v>0</v>
      </c>
      <c r="H38">
        <f>IF($E38=2,$D38,0)</f>
        <v>0</v>
      </c>
      <c r="I38">
        <f>IF($E38=3,$D38,0)</f>
        <v>0</v>
      </c>
      <c r="J38">
        <f>IF($E38=4,$D38,0)</f>
        <v>0</v>
      </c>
      <c r="K38">
        <f>IF($E38=5,$D38,0)</f>
        <v>250000</v>
      </c>
    </row>
    <row r="39">
      <c r="A39">
        <v>31</v>
      </c>
      <c r="B39">
        <v>5</v>
      </c>
      <c r="C39">
        <f>$D$4</f>
        <v>50000</v>
      </c>
      <c r="D39">
        <f>IF(A39&lt;=$D$5,B39*C39,0)</f>
        <v>0</v>
      </c>
      <c r="E39">
        <f>INT((A39-1)/7)+1</f>
        <v>5</v>
      </c>
      <c r="F39" t="str">
        <v/>
      </c>
      <c r="G39">
        <f>IF($E39=1,$D39,0)</f>
        <v>0</v>
      </c>
      <c r="H39">
        <f>IF($E39=2,$D39,0)</f>
        <v>0</v>
      </c>
      <c r="I39">
        <f>IF($E39=3,$D39,0)</f>
        <v>0</v>
      </c>
      <c r="J39">
        <f>IF($E39=4,$D39,0)</f>
        <v>0</v>
      </c>
      <c r="K39">
        <f>IF($E39=5,$D39,0)</f>
        <v>0</v>
      </c>
    </row>
    <row r="41">
      <c r="A41" t="str">
        <v>Weekly Totals</v>
      </c>
    </row>
    <row r="42">
      <c r="A42" t="str">
        <v>Week #</v>
      </c>
      <c r="B42" t="str">
        <v>Total Revenue (VND)</v>
      </c>
    </row>
    <row r="43">
      <c r="A43">
        <v>1</v>
      </c>
      <c r="B43">
        <f>SUM($G$9:$G$40)</f>
        <v>1750000</v>
      </c>
    </row>
    <row r="44">
      <c r="A44">
        <v>2</v>
      </c>
      <c r="B44">
        <f>SUM($H$9:$H$40)</f>
        <v>1750000</v>
      </c>
    </row>
    <row r="45">
      <c r="A45">
        <v>3</v>
      </c>
      <c r="B45">
        <f>SUM($I$9:$I$40)</f>
        <v>1750000</v>
      </c>
    </row>
    <row r="46">
      <c r="A46">
        <v>4</v>
      </c>
      <c r="B46">
        <f>SUM($J$9:$J$40)</f>
        <v>1750000</v>
      </c>
    </row>
    <row r="47">
      <c r="A47">
        <v>5</v>
      </c>
      <c r="B47">
        <f>SUM($K$9:$K$40)</f>
        <v>500000</v>
      </c>
    </row>
    <row r="49">
      <c r="A49" t="str">
        <v>Monthly Total Revenue (VND)</v>
      </c>
      <c r="B49">
        <f>SUM($D$9:$D$40)</f>
        <v>7500000</v>
      </c>
    </row>
  </sheetData>
  <mergeCells count="3">
    <mergeCell ref="A1:F1"/>
    <mergeCell ref="A3:F3"/>
    <mergeCell ref="A41:F41"/>
  </mergeCells>
  <pageMargins left="0.7" right="0.7" top="0.75" bottom="0.75" header="0" footer="0"/>
  <ignoredErrors>
    <ignoredError numberStoredAsText="1" sqref="A1:K100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6</vt:i4>
      </vt:variant>
    </vt:vector>
  </HeadingPairs>
  <TitlesOfParts>
    <vt:vector size="6" baseType="lpstr">
      <vt:lpstr>Business Rules</vt:lpstr>
      <vt:lpstr>Common rule</vt:lpstr>
      <vt:lpstr>Function</vt:lpstr>
      <vt:lpstr>Workflow States</vt:lpstr>
      <vt:lpstr>Pricing Rules</vt:lpstr>
      <vt:lpstr>Revenue Simulation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